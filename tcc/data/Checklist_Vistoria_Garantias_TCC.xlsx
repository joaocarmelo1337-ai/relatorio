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93d02be38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ras" sheetId="1" r:id="Rfd84231d6a2146b8"/>
    <x:sheet xmlns:r="http://schemas.openxmlformats.org/officeDocument/2006/relationships" name="Catalogo" sheetId="2" r:id="Rcb63e44b07ce444a"/>
    <x:sheet xmlns:r="http://schemas.openxmlformats.org/officeDocument/2006/relationships" name="Lancamentos" sheetId="3" r:id="R034433fe8d8545e4"/>
    <x:sheet xmlns:r="http://schemas.openxmlformats.org/officeDocument/2006/relationships" name="Painel" sheetId="4" r:id="R1795790ade3e48c0"/>
    <x:sheet xmlns:r="http://schemas.openxmlformats.org/officeDocument/2006/relationships" name="Síntese prazos NBR 17170" sheetId="5" r:id="R5f48a368b9394c16"/>
    <x:sheet xmlns:r="http://schemas.openxmlformats.org/officeDocument/2006/relationships" name="Entrega T3" sheetId="6" r:id="R0146a2714711461f"/>
    <x:sheet xmlns:r="http://schemas.openxmlformats.org/officeDocument/2006/relationships" name="Checklist Aval. e Classif." sheetId="7" r:id="R894d1d8a7f934b04"/>
    <x:sheet xmlns:r="http://schemas.openxmlformats.org/officeDocument/2006/relationships" name="Tabelas de apoio" sheetId="8" r:id="Ra594d75e04384d19"/>
    <x:sheet xmlns:r="http://schemas.openxmlformats.org/officeDocument/2006/relationships" name="Modelo de dados" sheetId="9" r:id="R6fe80078c1f24c74"/>
    <x:sheet xmlns:r="http://schemas.openxmlformats.org/officeDocument/2006/relationships" name="00 - Manual de Uso" sheetId="10" r:id="Re1aead626d78414d"/>
  </x:sheets>
  <x:definedNames>
    <x:definedName name="ListaItens">Catalogo!$A$5:$A$86</x:definedName>
    <x:definedName name="ListaObras">Obras!$A$5:$A$19</x:definedName>
    <x:definedName name="_FilterDatabase" localSheetId="6" hidden="1">'Checklist Aval. e Classif.'!$A$6:$L$89</x:definedName>
  </x:definedNames>
</x:workbook>
</file>

<file path=xl/sharedStrings.xml><?xml version="1.0" encoding="utf-8"?>
<x:sst xmlns:x="http://schemas.openxmlformats.org/spreadsheetml/2006/main">
  <x:si>
    <x:t xml:space="preserve">REGISTRO DAS UNIDADES INSPECIONADAS — ATÉ 15 OBRAS</x:t>
  </x:si>
  <x:si>
    <x:t xml:space="preserve">Uma linha por unidade. Preencher apenas as células amarelas. O ID_Obra é fixo e alimenta a lista suspensa da aba 'Lancamentos'. Duas datas com funções distintas: a DATA DE PROTOCOLO DO PROJETO define o regime normativo aplicável; a DATA DO HABITE-SE inicia a contagem do prazo de garantia (NBR 17170, item 5). Não unificar as duas. A NBR 17170:2022 não se aplica a projetos protocolados até 10/06/2023 (publicação em 12/12/2022 + 180 dias).</x:t>
  </x:si>
  <x:si>
    <x:t xml:space="preserve">ID_Obra</x:t>
  </x:si>
  <x:si>
    <x:t xml:space="preserve">Identificação</x:t>
  </x:si>
  <x:si>
    <x:t xml:space="preserve">Endereço</x:t>
  </x:si>
  <x:si>
    <x:t xml:space="preserve">Data do habite-se</x:t>
  </x:si>
  <x:si>
    <x:t xml:space="preserve">Data de protocolo do projeto</x:t>
  </x:si>
  <x:si>
    <x:t xml:space="preserve">Regime normativo aplicável</x:t>
  </x:si>
  <x:si>
    <x:t xml:space="preserve">Data da vistoria</x:t>
  </x:si>
  <x:si>
    <x:t xml:space="preserve">Idade na vistoria (anos)</x:t>
  </x:si>
  <x:si>
    <x:t xml:space="preserve">Manual de uso? (Sim/Não)</x:t>
  </x:si>
  <x:si>
    <x:t xml:space="preserve">Plano de manutenção comprovado? (Sim/Não)</x:t>
  </x:si>
  <x:si>
    <x:t xml:space="preserve">Houve reforma? (Sim/Não)</x:t>
  </x:si>
  <x:si>
    <x:t xml:space="preserve">Observações</x:t>
  </x:si>
  <x:si>
    <x:t xml:space="preserve">Alerta de consistência</x:t>
  </x:si>
  <x:si>
    <x:t xml:space="preserve">UN-01</x:t>
  </x:si>
  <x:si>
    <x:t xml:space="preserve">UN-02</x:t>
  </x:si>
  <x:si>
    <x:t xml:space="preserve">UN-03</x:t>
  </x:si>
  <x:si>
    <x:t xml:space="preserve">UN-04</x:t>
  </x:si>
  <x:si>
    <x:t xml:space="preserve">UN-05</x:t>
  </x:si>
  <x:si>
    <x:t xml:space="preserve">UN-06</x:t>
  </x:si>
  <x:si>
    <x:t xml:space="preserve">UN-07</x:t>
  </x:si>
  <x:si>
    <x:t xml:space="preserve">UN-08</x:t>
  </x:si>
  <x:si>
    <x:t xml:space="preserve">UN-09</x:t>
  </x:si>
  <x:si>
    <x:t xml:space="preserve">UN-10</x:t>
  </x:si>
  <x:si>
    <x:t xml:space="preserve">UN-11</x:t>
  </x:si>
  <x:si>
    <x:t xml:space="preserve">UN-12</x:t>
  </x:si>
  <x:si>
    <x:t xml:space="preserve">UN-13</x:t>
  </x:si>
  <x:si>
    <x:t xml:space="preserve">UN-14</x:t>
  </x:si>
  <x:si>
    <x:t xml:space="preserve">UN-15</x:t>
  </x:si>
  <x:si>
    <x:t xml:space="preserve">Idade na vistoria = (data da vistoria − data do habite-se) / 365,25. Regime normativo: projeto protocolado APÓS 10/06/2023 → NBR 17170:2022; até essa data → regime anterior (Anexo D da NBR 15575, que incluía prazos de 2 anos, extintos pela NBR 17170). Fontes: ABNT NBR 17170:2022; Código Civil, art. 618; Lei nº 4.591/1964, art. 32; NBR 14037; NBR 5674; NBR 16280.</x:t>
  </x:si>
  <x:si>
    <x:t xml:space="preserve">CATÁLOGO DE ITENS DE VERIFICAÇÃO — SOMENTE LEITURA</x:t>
  </x:si>
  <x:si>
    <x:t xml:space="preserve">Nada é preenchido nesta aba em campo. Itens IT-001 a IT-066: recorte de patologias em residências com até 3 anos (sistemas de uso coletivo — SPDA, incêndio e acessibilidade — permanecem íntegros na aba 'Checklist Aval. e Classif.'). Itens T3-01 a T3-16: falhas aparentes da Tabela 3 da NBR 17170:2022, identificadas no ato da entrega, SEM prazo em anos. Prazos, tipos de falha e notas de enquadramento reproduzem o arquivo original sem alteração.</x:t>
  </x:si>
  <x:si>
    <x:t xml:space="preserve">ID_Item</x:t>
  </x:si>
  <x:si>
    <x:t xml:space="preserve">Sistema / elemento</x:t>
  </x:si>
  <x:si>
    <x:t xml:space="preserve">Item de verificação</x:t>
  </x:si>
  <x:si>
    <x:t xml:space="preserve">Origem esperada (1–2 anos)</x:t>
  </x:si>
  <x:si>
    <x:t xml:space="preserve">Causas prováveis em idade precoce</x:t>
  </x:si>
  <x:si>
    <x:t xml:space="preserve">Procedência</x:t>
  </x:si>
  <x:si>
    <x:t xml:space="preserve">Tipo de falha — enquadramento na NBR 17170:2022</x:t>
  </x:si>
  <x:si>
    <x:t xml:space="preserve">Prazo de garantia (anos)</x:t>
  </x:si>
  <x:si>
    <x:t xml:space="preserve">Nota de enquadramento</x:t>
  </x:si>
  <x:si>
    <x:t xml:space="preserve">IT-001</x:t>
  </x:si>
  <x:si>
    <x:t xml:space="preserve">Áreas externas</x:t>
  </x:si>
  <x:si>
    <x:t xml:space="preserve">Fissuras e trincas em calçadas e passeios</x:t>
  </x:si>
  <x:si>
    <x:t xml:space="preserve">Endógena (projeto/execução)</x:t>
  </x:si>
  <x:si>
    <x:t xml:space="preserve">Ausência de juntas de dilatação, espessura ou traço inadequado do contrapiso, reaterro mal compactado.</x:t>
  </x:si>
  <x:si>
    <x:t xml:space="preserve">Apêndice B</x:t>
  </x:si>
  <x:si>
    <x:t xml:space="preserve">Pavimentação externa à edificação (pedestres) — desgaste; dessolidarização</x:t>
  </x:si>
  <x:si>
    <x:t xml:space="preserve">Fissuração não é tipificada para pavimento externo; enquadrar pela consequência (dessolidarização).</x:t>
  </x:si>
  <x:si>
    <x:t xml:space="preserve">IT-002</x:t>
  </x:si>
  <x:si>
    <x:t xml:space="preserve">Afundamento em calçadas e passeios</x:t>
  </x:si>
  <x:si>
    <x:t xml:space="preserve">Reaterro mal compactado, compactação insuficiente do subleito, erosão junto à fundação.</x:t>
  </x:si>
  <x:si>
    <x:t xml:space="preserve">Se o afundamento decorrer de reaterro, avaliar também enquadramento em fundações (Tabela 1, 5 anos).</x:t>
  </x:si>
  <x:si>
    <x:t xml:space="preserve">IT-003</x:t>
  </x:si>
  <x:si>
    <x:t xml:space="preserve">Recalque de piso externo sobre reaterro de vala</x:t>
  </x:si>
  <x:si>
    <x:t xml:space="preserve">Vala de instalação reaterrada sem compactação em camadas; adensamento nos primeiros meses.</x:t>
  </x:si>
  <x:si>
    <x:t xml:space="preserve">Acrescentado</x:t>
  </x:si>
  <x:si>
    <x:t xml:space="preserve">Recalque sobre vala de instalação: verificar se há dano associado a tubulação enterrada (5 anos, prumadas).</x:t>
  </x:si>
  <x:si>
    <x:t xml:space="preserve">IT-004</x:t>
  </x:si>
  <x:si>
    <x:t xml:space="preserve">Canaletas ou grelhas obstruídas</x:t>
  </x:si>
  <x:si>
    <x:t xml:space="preserve">Falha (uso/manutenção)</x:t>
  </x:si>
  <x:si>
    <x:t xml:space="preserve">Falta de limpeza periódica; entulho remanescente da obra.</x:t>
  </x:si>
  <x:si>
    <x:t xml:space="preserve">Não previsto na Tabela 2 — decorre de limpeza/manutenção</x:t>
  </x:si>
  <x:si>
    <x:t xml:space="preserve">Falha de manutenção do usuário (NBR 5674). Não gera direito de garantia.</x:t>
  </x:si>
  <x:si>
    <x:t xml:space="preserve">IT-005</x:t>
  </x:si>
  <x:si>
    <x:t xml:space="preserve">Infiltração ou umidade ascendente em muros de divisa</x:t>
  </x:si>
  <x:si>
    <x:t xml:space="preserve">Ausência ou deficiência de impermeabilização do baldrame, falha de execução.</x:t>
  </x:si>
  <x:si>
    <x:t xml:space="preserve">Muros externos — deterioração por umidade</x:t>
  </x:si>
  <x:si>
    <x:t xml:space="preserve">É o prazo mais curto do muro. Se houver fissuração associada, o mesmo elemento tem 3 anos por esse tipo de falha.</x:t>
  </x:si>
  <x:si>
    <x:t xml:space="preserve">IT-006</x:t>
  </x:si>
  <x:si>
    <x:t xml:space="preserve">Fissuras ou trincas no muro de divisa</x:t>
  </x:si>
  <x:si>
    <x:t xml:space="preserve">Ausência de pilaretes/cinta de amarração, retração, ausência de juntas, recalque.</x:t>
  </x:si>
  <x:si>
    <x:t xml:space="preserve">Muros externos — fissuração</x:t>
  </x:si>
  <x:si>
    <x:t xml:space="preserve">Se evoluir para ruptura ou tombamento, o prazo aplicável passa a 5 anos.</x:t>
  </x:si>
  <x:si>
    <x:t xml:space="preserve">IT-007</x:t>
  </x:si>
  <x:si>
    <x:t xml:space="preserve">Dificuldade de abertura/fechamento de portões</x:t>
  </x:si>
  <x:si>
    <x:t xml:space="preserve">Endógena ou Falha</x:t>
  </x:si>
  <x:si>
    <x:t xml:space="preserve">Instalação/regulagem inadequada; desalinhamento por recalque do pilarete.</x:t>
  </x:si>
  <x:si>
    <x:t xml:space="preserve">Portões de acesso à edificação — falhas de produto / de instalação</x:t>
  </x:si>
  <x:si>
    <x:t xml:space="preserve">IT-008</x:t>
  </x:si>
  <x:si>
    <x:t xml:space="preserve">Corrosão em portões ou gradis metálicos</x:t>
  </x:si>
  <x:si>
    <x:t xml:space="preserve">Preparo de superfície e pintura de proteção inadequados na execução.</x:t>
  </x:si>
  <x:si>
    <x:t xml:space="preserve">Portões, gradis e grades — oxidação que não acarrete perda de seção</x:t>
  </x:si>
  <x:si>
    <x:t xml:space="preserve">Se houver corrosão com ruptura ou perda de seção, o prazo é 5 anos.</x:t>
  </x:si>
  <x:si>
    <x:t xml:space="preserve">IT-009</x:t>
  </x:si>
  <x:si>
    <x:t xml:space="preserve">Estrutura</x:t>
  </x:si>
  <x:si>
    <x:t xml:space="preserve">Fissuras em vigas, pilares e lajes</x:t>
  </x:si>
  <x:si>
    <x:t xml:space="preserve">Retração do concreto, cura deficiente, escoramento retirado precocemente, recalque diferencial, sobrecarga não prevista.</x:t>
  </x:si>
  <x:si>
    <x:t xml:space="preserve">Estrutura (Tabela 1) — solidez e segurança</x:t>
  </x:si>
  <x:si>
    <x:t xml:space="preserve">A garantia alcança fissuras e deformações que ultrapassem os limites aceitáveis de normas específicas, ou, na ausência delas, mediante análise técnica de origem, causa e risco.</x:t>
  </x:si>
  <x:si>
    <x:t xml:space="preserve">IT-010</x:t>
  </x:si>
  <x:si>
    <x:t xml:space="preserve">Fissuras de retração plástica em laje</x:t>
  </x:si>
  <x:si>
    <x:t xml:space="preserve">Cura insuficiente, concretagem sob sol/vento, excesso de água no traço.</x:t>
  </x:si>
  <x:si>
    <x:t xml:space="preserve">Retração plástica: caracterizar se ultrapassa os limites normativos de fissuração.</x:t>
  </x:si>
  <x:si>
    <x:t xml:space="preserve">IT-011</x:t>
  </x:si>
  <x:si>
    <x:t xml:space="preserve">Nichos, bicheiras e falhas de concretagem aparentes</x:t>
  </x:si>
  <x:si>
    <x:t xml:space="preserve">Adensamento deficiente, segregação, forma com fresta, armadura congestionada.</x:t>
  </x:si>
  <x:si>
    <x:t xml:space="preserve">Se aparente na entrega, também é ocorrência da Tabela 3 (identificação no ato do recebimento).</x:t>
  </x:si>
  <x:si>
    <x:t xml:space="preserve">IT-012</x:t>
  </x:si>
  <x:si>
    <x:t xml:space="preserve">Exposição de armaduras</x:t>
  </x:si>
  <x:si>
    <x:t xml:space="preserve">Cobrimento insuficiente, espaçador ausente ou deslocado, falha de concretagem.</x:t>
  </x:si>
  <x:si>
    <x:t xml:space="preserve">IT-013</x:t>
  </x:si>
  <x:si>
    <x:t xml:space="preserve">Corrosão de armaduras</x:t>
  </x:si>
  <x:si>
    <x:t xml:space="preserve">Cobrimento insuficiente associado a infiltração; presença de cloretos no agregado.</x:t>
  </x:si>
  <x:si>
    <x:t xml:space="preserve">IT-014</x:t>
  </x:si>
  <x:si>
    <x:t xml:space="preserve">Deformações excessivas (flechas em lajes/vigas)</x:t>
  </x:si>
  <x:si>
    <x:t xml:space="preserve">Erro de dimensionamento, retirada precoce de escoramento, sobrecarga não prevista.</x:t>
  </x:si>
  <x:si>
    <x:t xml:space="preserve">Deformação deve ultrapassar os limites aceitáveis estabelecidos em norma específica.</x:t>
  </x:si>
  <x:si>
    <x:t xml:space="preserve">IT-015</x:t>
  </x:si>
  <x:si>
    <x:t xml:space="preserve">Desagregação do concreto</x:t>
  </x:si>
  <x:si>
    <x:t xml:space="preserve">Traço inadequado, segregação, má qualidade do agregado, cura deficiente.</x:t>
  </x:si>
  <x:si>
    <x:t xml:space="preserve">IT-016</x:t>
  </x:si>
  <x:si>
    <x:t xml:space="preserve">Vibrações excessivas em piso/laje</x:t>
  </x:si>
  <x:si>
    <x:t xml:space="preserve">Dimensionamento com rigidez insuficiente; vão excessivo.</x:t>
  </x:si>
  <x:si>
    <x:t xml:space="preserve">IT-017</x:t>
  </x:si>
  <x:si>
    <x:t xml:space="preserve">Fundação</x:t>
  </x:si>
  <x:si>
    <x:t xml:space="preserve">Recalque diferencial</x:t>
  </x:si>
  <x:si>
    <x:t xml:space="preserve">Ausência ou deficiência de sondagem, dimensionamento inadequado, execução deficiente, obras vizinhas.</x:t>
  </x:si>
  <x:si>
    <x:t xml:space="preserve">Fundações (Tabela 1) — solidez e segurança</x:t>
  </x:si>
  <x:si>
    <x:t xml:space="preserve">IT-018</x:t>
  </x:si>
  <x:si>
    <x:t xml:space="preserve">Desnível de piso</x:t>
  </x:si>
  <x:si>
    <x:t xml:space="preserve">Recalque diferencial, execução do contrapiso fora de nível, acomodação do aterro.</x:t>
  </x:si>
  <x:si>
    <x:t xml:space="preserve">Estrutura de pisos (Tabela 1) — solidez e segurança</x:t>
  </x:si>
  <x:si>
    <x:t xml:space="preserve">Se o desnível for restrito à camada de regularização, o enquadramento é contrapiso (3 anos).</x:t>
  </x:si>
  <x:si>
    <x:t xml:space="preserve">IT-019</x:t>
  </x:si>
  <x:si>
    <x:t xml:space="preserve">Fissuras no piso / contrapiso</x:t>
  </x:si>
  <x:si>
    <x:t xml:space="preserve">Retração do contrapiso, ausência de juntas, espessura insuficiente, recalque.</x:t>
  </x:si>
  <x:si>
    <x:t xml:space="preserve">Camada de regularização (contrapiso) — dessolidarização; desagregação/pulverulência</x:t>
  </x:si>
  <x:si>
    <x:t xml:space="preserve">Se a fissura tiver origem em recalque de fundação, o enquadramento é Tabela 1 (5 anos).</x:t>
  </x:si>
  <x:si>
    <x:t xml:space="preserve">IT-020</x:t>
  </x:si>
  <x:si>
    <x:t xml:space="preserve">Umidade ascendente</x:t>
  </x:si>
  <x:si>
    <x:t xml:space="preserve">Ausência ou falha de impermeabilização do baldrame; barreira interrompida na execução.</x:t>
  </x:si>
  <x:si>
    <x:t xml:space="preserve">Impermeabilização — perda de estanqueidade</x:t>
  </x:si>
  <x:si>
    <x:t xml:space="preserve">Aplica-se a sistema de impermeabilização em qualquer elemento construtivo.</x:t>
  </x:si>
  <x:si>
    <x:t xml:space="preserve">IT-021</x:t>
  </x:si>
  <x:si>
    <x:t xml:space="preserve">Vedação</x:t>
  </x:si>
  <x:si>
    <x:t xml:space="preserve">Fissuras em alvenaria</x:t>
  </x:si>
  <x:si>
    <x:t xml:space="preserve">Retração da argamassa, movimentação térmica, deformação da estrutura, ausência de juntas.</x:t>
  </x:si>
  <x:si>
    <x:t xml:space="preserve">Vedações verticais (internas e externas) — perda de integridade; dessolidarização</x:t>
  </x:si>
  <x:si>
    <x:t xml:space="preserve">IT-022</x:t>
  </x:si>
  <x:si>
    <x:t xml:space="preserve">Trincas em encontros estruturais (alvenaria x pilar/viga)</x:t>
  </x:si>
  <x:si>
    <x:t xml:space="preserve">Ausência de tela ou ferro-cabelo, falta de detalhamento da interface, deformação da estrutura.</x:t>
  </x:si>
  <x:si>
    <x:t xml:space="preserve">IT-023</x:t>
  </x:si>
  <x:si>
    <x:t xml:space="preserve">Fissura horizontal sob a viga (falha de encunhamento)</x:t>
  </x:si>
  <x:si>
    <x:t xml:space="preserve">Encunhamento/aperto ausente, executado cedo demais ou com material inadequado.</x:t>
  </x:si>
  <x:si>
    <x:t xml:space="preserve">Falha de encunhamento: interface alvenaria/estrutura, típica de execução.</x:t>
  </x:si>
  <x:si>
    <x:t xml:space="preserve">IT-024</x:t>
  </x:si>
  <x:si>
    <x:t xml:space="preserve">Trincas em vergas e contravergas</x:t>
  </x:si>
  <x:si>
    <x:t xml:space="preserve">Ausência, subdimensionamento ou transpasse insuficiente de vergas e contravergas.</x:t>
  </x:si>
  <x:si>
    <x:t xml:space="preserve">IT-025</x:t>
  </x:si>
  <x:si>
    <x:t xml:space="preserve">Fissuras mapeadas (retração do emboço/reboco)</x:t>
  </x:si>
  <x:si>
    <x:t xml:space="preserve">Traço rico em cimento, aplicação em camada única espessa, cura deficiente.</x:t>
  </x:si>
  <x:si>
    <x:t xml:space="preserve">Revestimento que faz parte do sistema de vedação — desgaste, empolamento, descascamento, esfarelamento, perda de estanqueidade</x:t>
  </x:si>
  <x:si>
    <x:t xml:space="preserve">Fissuração mapeada é do revestimento (3 anos), não da vedação (5 anos). Distinguir a camada afetada.</x:t>
  </x:si>
  <x:si>
    <x:t xml:space="preserve">IT-026</x:t>
  </x:si>
  <x:si>
    <x:t xml:space="preserve">Deslocamento / empolamento</x:t>
  </x:si>
  <x:si>
    <x:t xml:space="preserve">Deficiência de aderência ao substrato, base mal preparada, infiltração.</x:t>
  </x:si>
  <x:si>
    <x:t xml:space="preserve">Revestimento que faz parte do sistema de vedação — dessolidarização</x:t>
  </x:si>
  <x:si>
    <x:t xml:space="preserve">Dessolidarização: 5 anos. Se caracterizado como empolamento/descascamento: 3 anos.</x:t>
  </x:si>
  <x:si>
    <x:t xml:space="preserve">IT-027</x:t>
  </x:si>
  <x:si>
    <x:t xml:space="preserve">Umidade / infiltração</x:t>
  </x:si>
  <x:si>
    <x:t xml:space="preserve">Falha de impermeabilização, vazamento em instalação embutida, fissuras, ausência de pingadeira.</x:t>
  </x:si>
  <x:si>
    <x:t xml:space="preserve">Se a infiltração for pela fachada e não houver sistema de impermeabilização, enquadrar em revestimento — perda de estanqueidade (3 anos).</x:t>
  </x:si>
  <x:si>
    <x:t xml:space="preserve">IT-028</x:t>
  </x:si>
  <x:si>
    <x:t xml:space="preserve">Condensação (mofo ou bolor)</x:t>
  </x:si>
  <x:si>
    <x:t xml:space="preserve">Ventilação insuficiente por deficiência de projeto; uso inadequado do ambiente.</x:t>
  </x:si>
  <x:si>
    <x:t xml:space="preserve">Acabamento decorativo tinta látex standard — bolor, fungo, mofo e algas</x:t>
  </x:si>
  <x:si>
    <x:t xml:space="preserve">3 anos se a tinta especificada for látex premium ou super premium. Verificar o memorial descritivo.</x:t>
  </x:si>
  <x:si>
    <x:t xml:space="preserve">IT-029</x:t>
  </x:si>
  <x:si>
    <x:t xml:space="preserve">Eflorescência</x:t>
  </x:si>
  <x:si>
    <x:t xml:space="preserve">Umidade residual da obra, migração de sais, deficiência de impermeabilização.</x:t>
  </x:si>
  <x:si>
    <x:t xml:space="preserve">Acabamento decorativo tinta látex standard — eflorescência</x:t>
  </x:si>
  <x:si>
    <x:t xml:space="preserve">3 anos se látex premium/super premium. Se houver umidade de base, avaliar também impermeabilização (5 anos).</x:t>
  </x:si>
  <x:si>
    <x:t xml:space="preserve">IT-030</x:t>
  </x:si>
  <x:si>
    <x:t xml:space="preserve">Revestimento</x:t>
  </x:si>
  <x:si>
    <x:t xml:space="preserve">Deslocamento cerâmico</x:t>
  </x:si>
  <x:si>
    <x:t xml:space="preserve">Argamassa colante inadequada, tempo em aberto excedido, dupla colagem ausente, junta insuficiente.</x:t>
  </x:si>
  <x:si>
    <x:t xml:space="preserve">Acabamento decorativo aderido (cerâmica/pedra) — dessolidarização</x:t>
  </x:si>
  <x:si>
    <x:t xml:space="preserve">5 anos em fachada. Em ambiente interno o enquadramento é desgaste/dessolidarização, com 3 anos.</x:t>
  </x:si>
  <x:si>
    <x:t xml:space="preserve">IT-031</x:t>
  </x:si>
  <x:si>
    <x:t xml:space="preserve">Som cavo</x:t>
  </x:si>
  <x:si>
    <x:t xml:space="preserve">Deficiência de aderência entre camadas, base contaminada ou mal preparada.</x:t>
  </x:si>
  <x:si>
    <x:t xml:space="preserve">Som cavo é indício de dessolidarização, não a falha em si. Registrar extensão percentual da área percutida.</x:t>
  </x:si>
  <x:si>
    <x:t xml:space="preserve">IT-032</x:t>
  </x:si>
  <x:si>
    <x:t xml:space="preserve">Trincas em reboco</x:t>
  </x:si>
  <x:si>
    <x:t xml:space="preserve">Retração da argamassa, deformação da base, cura deficiente.</x:t>
  </x:si>
  <x:si>
    <x:t xml:space="preserve">Revestimento que faz parte do sistema de vedação — desgaste, empolamento, descascamento, esfarelamento</x:t>
  </x:si>
  <x:si>
    <x:t xml:space="preserve">IT-033</x:t>
  </x:si>
  <x:si>
    <x:t xml:space="preserve">Descascamento da pintura</x:t>
  </x:si>
  <x:si>
    <x:t xml:space="preserve">Preparo inadequado da superfície, pintura sobre base úmida ou sem selador.</x:t>
  </x:si>
  <x:si>
    <x:t xml:space="preserve">Acabamento decorativo tinta látex standard — perda de integridade da película</x:t>
  </x:si>
  <x:si>
    <x:t xml:space="preserve">3 anos se látex premium/super premium; 1 ano se esmalte sintético ou tinta a óleo.</x:t>
  </x:si>
  <x:si>
    <x:t xml:space="preserve">IT-034</x:t>
  </x:si>
  <x:si>
    <x:t xml:space="preserve">Bolhas / empolamento da pintura</x:t>
  </x:si>
  <x:si>
    <x:t xml:space="preserve">Aplicação sobre substrato úmido; umidade residual da obra.</x:t>
  </x:si>
  <x:si>
    <x:t xml:space="preserve">Acabamento decorativo tinta látex standard — perda de integridade da película (bolhas)</x:t>
  </x:si>
  <x:si>
    <x:t xml:space="preserve">3 anos se látex premium/super premium ou textura.</x:t>
  </x:si>
  <x:si>
    <x:t xml:space="preserve">IT-035</x:t>
  </x:si>
  <x:si>
    <x:t xml:space="preserve">Umidade residual e migração de sais solúveis; impermeabilização deficiente.</x:t>
  </x:si>
  <x:si>
    <x:t xml:space="preserve">Se a eflorescência estiver no revestimento e não na pintura, o prazo é 3 anos.</x:t>
  </x:si>
  <x:si>
    <x:t xml:space="preserve">IT-036</x:t>
  </x:si>
  <x:si>
    <x:t xml:space="preserve">Manchas de umidade</x:t>
  </x:si>
  <x:si>
    <x:t xml:space="preserve">Infiltração, vazamento em instalação, falha de impermeabilização.</x:t>
  </x:si>
  <x:si>
    <x:t xml:space="preserve">Conforme a origem: pintura (1 ano), revestimento (3 anos) ou impermeabilização (5 anos). Definir a camada antes de enquadrar.</x:t>
  </x:si>
  <x:si>
    <x:t xml:space="preserve">IT-037</x:t>
  </x:si>
  <x:si>
    <x:t xml:space="preserve">Falhas de rejunte</x:t>
  </x:si>
  <x:si>
    <x:t xml:space="preserve">Rejunte aplicado antes da cura da argamassa colante, junta subdimensionada.</x:t>
  </x:si>
  <x:si>
    <x:t xml:space="preserve">Rejuntamento — desgaste; dessolidarização</x:t>
  </x:si>
  <x:si>
    <x:t xml:space="preserve">Vale para rejunte de piso e de parede, interno e externo. É um dos prazos mais curtos da norma.</x:t>
  </x:si>
  <x:si>
    <x:t xml:space="preserve">IT-038</x:t>
  </x:si>
  <x:si>
    <x:t xml:space="preserve">Desalinhamento de juntas e variação de tonalidade</x:t>
  </x:si>
  <x:si>
    <x:t xml:space="preserve">Assentamento sem controle de nivelamento; lotes cerâmicos diferentes.</x:t>
  </x:si>
  <x:si>
    <x:t xml:space="preserve">Falha aparente / ocorrência em acabamento (Tabela 3)</x:t>
  </x:si>
  <x:si>
    <x:t xml:space="preserve">Identificação devida no ato da entrega. Fora disso, aplica-se o art. 26, II, do CDC: 90 dias para vício aparente.</x:t>
  </x:si>
  <x:si>
    <x:t xml:space="preserve">IT-039</x:t>
  </x:si>
  <x:si>
    <x:t xml:space="preserve">Instalações elétricas</x:t>
  </x:si>
  <x:si>
    <x:t xml:space="preserve">Fios expostos</x:t>
  </x:si>
  <x:si>
    <x:t xml:space="preserve">Execução incorreta, intervenções pós-obra inadequadas.</x:t>
  </x:si>
  <x:si>
    <x:t xml:space="preserve">Componentes dos circuitos elétricos — falhas de instalação</x:t>
  </x:si>
  <x:si>
    <x:t xml:space="preserve">1 ano se a falha for do produto e não da instalação.</x:t>
  </x:si>
  <x:si>
    <x:t xml:space="preserve">IT-040</x:t>
  </x:si>
  <x:si>
    <x:t xml:space="preserve">Emendas improvisadas</x:t>
  </x:si>
  <x:si>
    <x:t xml:space="preserve">Execução inadequada ou reparos improvisados durante a obra.</x:t>
  </x:si>
  <x:si>
    <x:t xml:space="preserve">IT-041</x:t>
  </x:si>
  <x:si>
    <x:t xml:space="preserve">Quadro elétrico irregular</x:t>
  </x:si>
  <x:si>
    <x:t xml:space="preserve">Projeto inadequado, execução incorreta, ausência de identificação de circuitos.</x:t>
  </x:si>
  <x:si>
    <x:t xml:space="preserve">Componentes dos circuitos elétricos (quadros e painéis) — falhas de instalação</x:t>
  </x:si>
  <x:si>
    <x:t xml:space="preserve">1 ano se falha do produto.</x:t>
  </x:si>
  <x:si>
    <x:t xml:space="preserve">IT-042</x:t>
  </x:si>
  <x:si>
    <x:t xml:space="preserve">Disjuntores inadequados</x:t>
  </x:si>
  <x:si>
    <x:t xml:space="preserve">Dimensionamento incorreto frente aos circuitos executados.</x:t>
  </x:si>
  <x:si>
    <x:t xml:space="preserve">Componentes dos circuitos elétricos (disjuntores) — falhas de instalação</x:t>
  </x:si>
  <x:si>
    <x:t xml:space="preserve">IT-043</x:t>
  </x:si>
  <x:si>
    <x:t xml:space="preserve">Ausência de dispositivos de segurança (DR, DPS)</x:t>
  </x:si>
  <x:si>
    <x:t xml:space="preserve">Falha de projeto ou supressão em obra (NBR 5410).</x:t>
  </x:si>
  <x:si>
    <x:t xml:space="preserve">Componentes dos circuitos elétricos (dispositivos de proteção) — falhas de instalação</x:t>
  </x:si>
  <x:si>
    <x:t xml:space="preserve">Ausência de DR/DPS é não conformidade com a NBR 5410 — registrar também como descumprimento normativo.</x:t>
  </x:si>
  <x:si>
    <x:t xml:space="preserve">IT-044</x:t>
  </x:si>
  <x:si>
    <x:t xml:space="preserve">Aquecimento de condutores</x:t>
  </x:si>
  <x:si>
    <x:t xml:space="preserve">Condutor subdimensionado, mau contato, circuito sobrecarregado.</x:t>
  </x:si>
  <x:si>
    <x:t xml:space="preserve">1 ano se falha do produto. Prioridade alta na Matriz GUT por risco de incêndio.</x:t>
  </x:si>
  <x:si>
    <x:t xml:space="preserve">IT-045</x:t>
  </x:si>
  <x:si>
    <x:t xml:space="preserve">Falta de aterramento</x:t>
  </x:si>
  <x:si>
    <x:t xml:space="preserve">Falha de projeto, execução incompleta, haste desconectada.</x:t>
  </x:si>
  <x:si>
    <x:t xml:space="preserve">SPDA — cabos, barramentos e componentes de equipotencialização — falhas de instalação</x:t>
  </x:si>
  <x:si>
    <x:t xml:space="preserve">IT-046</x:t>
  </x:si>
  <x:si>
    <x:t xml:space="preserve">Tomadas danificadas ou mal fixadas</x:t>
  </x:si>
  <x:si>
    <x:t xml:space="preserve">Fixação inadequada na execução; desgaste pelo uso.</x:t>
  </x:si>
  <x:si>
    <x:t xml:space="preserve">Componentes dos circuitos elétricos (tomadas) — falhas do produto</x:t>
  </x:si>
  <x:si>
    <x:t xml:space="preserve">3 anos se a falha for de instalação (fixação).</x:t>
  </x:si>
  <x:si>
    <x:t xml:space="preserve">IT-047</x:t>
  </x:si>
  <x:si>
    <x:t xml:space="preserve">Instalações hidrossanitárias</x:t>
  </x:si>
  <x:si>
    <x:t xml:space="preserve">Vazamentos / infiltração</x:t>
  </x:si>
  <x:si>
    <x:t xml:space="preserve">Falha de execução em conexões embutidas, ausência de teste de estanqueidade.</x:t>
  </x:si>
  <x:si>
    <x:t xml:space="preserve">Ramais e sub-ramais de tubulações — falhas de instalação</x:t>
  </x:si>
  <x:si>
    <x:t xml:space="preserve">5 anos se o vazamento for em prumada/coluna ou reservatório.</x:t>
  </x:si>
  <x:si>
    <x:t xml:space="preserve">IT-048</x:t>
  </x:si>
  <x:si>
    <x:t xml:space="preserve">Mau funcionamento de aparelhos</x:t>
  </x:si>
  <x:si>
    <x:t xml:space="preserve">Instalação inadequada, obstrução por resíduo de obra.</x:t>
  </x:si>
  <x:si>
    <x:t xml:space="preserve">Louças sanitárias e metais — falhas dos produtos</x:t>
  </x:si>
  <x:si>
    <x:t xml:space="preserve">3 anos se falha de instalação.</x:t>
  </x:si>
  <x:si>
    <x:t xml:space="preserve">IT-049</x:t>
  </x:si>
  <x:si>
    <x:t xml:space="preserve">Baixa pressão</x:t>
  </x:si>
  <x:si>
    <x:t xml:space="preserve">Dimensionamento inadequado, altura insuficiente do reservatório, obstrução.</x:t>
  </x:si>
  <x:si>
    <x:t xml:space="preserve">Se decorrer de dimensionamento de projeto, registrar como anomalia endógena de projeto.</x:t>
  </x:si>
  <x:si>
    <x:t xml:space="preserve">IT-050</x:t>
  </x:si>
  <x:si>
    <x:t xml:space="preserve">Tubulação deteriorada ou danificada</x:t>
  </x:si>
  <x:si>
    <x:t xml:space="preserve">Material inadequado, dano mecânico durante a obra.</x:t>
  </x:si>
  <x:si>
    <x:t xml:space="preserve">5 anos se prumada/coluna.</x:t>
  </x:si>
  <x:si>
    <x:t xml:space="preserve">IT-051</x:t>
  </x:si>
  <x:si>
    <x:t xml:space="preserve">Mau cheiro / ausência de ventilação sanitária</x:t>
  </x:si>
  <x:si>
    <x:t xml:space="preserve">Coluna de ventilação ausente ou obstruída, sifão inexistente.</x:t>
  </x:si>
  <x:si>
    <x:t xml:space="preserve">Ausência de ventilação sanitária é não conformidade com a NBR 8160.</x:t>
  </x:si>
  <x:si>
    <x:t xml:space="preserve">IT-052</x:t>
  </x:si>
  <x:si>
    <x:t xml:space="preserve">Ralos sem vedação (fecho hídrico)</x:t>
  </x:si>
  <x:si>
    <x:t xml:space="preserve">Instalação inadequada, ausência de fecho hídrico.</x:t>
  </x:si>
  <x:si>
    <x:t xml:space="preserve">Engate flexível, sifão, válvulas, ralos e seus acabamentos — falhas dos produtos e instalação</x:t>
  </x:si>
  <x:si>
    <x:t xml:space="preserve">IT-053</x:t>
  </x:si>
  <x:si>
    <x:t xml:space="preserve">Empoçamento por falta de caimento em áreas molhadas</x:t>
  </x:si>
  <x:si>
    <x:t xml:space="preserve">Contrapiso executado sem declividade para o ralo.</x:t>
  </x:si>
  <x:si>
    <x:t xml:space="preserve">Camada de regularização (contrapiso) — dessolidarização; desagregação</x:t>
  </x:si>
  <x:si>
    <x:t xml:space="preserve">Caimento é definido na regularização. Se houver perda de estanqueidade, avaliar impermeabilização (5 anos).</x:t>
  </x:si>
  <x:si>
    <x:t xml:space="preserve">IT-054</x:t>
  </x:si>
  <x:si>
    <x:t xml:space="preserve">Falha de impermeabilização em box e áreas molhadas</x:t>
  </x:si>
  <x:si>
    <x:t xml:space="preserve">Sistema ausente, mal executado ou sem teste de estanqueidade; rodapé sem subida.</x:t>
  </x:si>
  <x:si>
    <x:t xml:space="preserve">Um dos itens de maior prazo e maior incidência precoce. Verificar existência de teste de estanqueidade na obra.</x:t>
  </x:si>
  <x:si>
    <x:t xml:space="preserve">IT-055</x:t>
  </x:si>
  <x:si>
    <x:t xml:space="preserve">Cobertura</x:t>
  </x:si>
  <x:si>
    <x:t xml:space="preserve">Telhas danificadas ou deslocadas</x:t>
  </x:si>
  <x:si>
    <x:t xml:space="preserve">Fixação inadequada, trânsito sobre o telhado durante a obra.</x:t>
  </x:si>
  <x:si>
    <x:t xml:space="preserve">Telhamento — dessolidarização ou ruptura</x:t>
  </x:si>
  <x:si>
    <x:t xml:space="preserve">1 ano se caracterizado como deformação, permeabilidade ou perda de estanqueidade.</x:t>
  </x:si>
  <x:si>
    <x:t xml:space="preserve">IT-056</x:t>
  </x:si>
  <x:si>
    <x:t xml:space="preserve">Infiltrações</x:t>
  </x:si>
  <x:si>
    <x:t xml:space="preserve">Inclinação abaixo da mínima, transpasse insuficiente, rufo/calha mal executados.</x:t>
  </x:si>
  <x:si>
    <x:t xml:space="preserve">Telhamento — perda de estanqueidade</x:t>
  </x:si>
  <x:si>
    <x:t xml:space="preserve">Prazo curto. Se a origem for a impermeabilização de laje, o prazo é 5 anos.</x:t>
  </x:si>
  <x:si>
    <x:t xml:space="preserve">IT-057</x:t>
  </x:si>
  <x:si>
    <x:t xml:space="preserve">Inclinação ou transpasse de telha inadequados</x:t>
  </x:si>
  <x:si>
    <x:t xml:space="preserve">Execução em desacordo com a especificação do fabricante.</x:t>
  </x:si>
  <x:si>
    <x:t xml:space="preserve">Inclinação e transpasse são definidos em projeto; registrar como anomalia endógena de projeto.</x:t>
  </x:si>
  <x:si>
    <x:t xml:space="preserve">IT-058</x:t>
  </x:si>
  <x:si>
    <x:t xml:space="preserve">Calhas obstruídas</x:t>
  </x:si>
  <x:si>
    <x:t xml:space="preserve">Falta de limpeza; resíduo de obra remanescente.</x:t>
  </x:si>
  <x:si>
    <x:t xml:space="preserve">Falha de manutenção do usuário (NBR 5674).</x:t>
  </x:si>
  <x:si>
    <x:t xml:space="preserve">IT-059</x:t>
  </x:si>
  <x:si>
    <x:t xml:space="preserve">Acúmulo de água</x:t>
  </x:si>
  <x:si>
    <x:t xml:space="preserve">Declividade inadequada, drenagem subdimensionada.</x:t>
  </x:si>
  <x:si>
    <x:t xml:space="preserve">Rufos e calhas — falha de fixação e perda de estanqueidade</x:t>
  </x:si>
  <x:si>
    <x:t xml:space="preserve">Se o acúmulo for em laje impermeabilizada, avaliar impermeabilização (5 anos).</x:t>
  </x:si>
  <x:si>
    <x:t xml:space="preserve">IT-060</x:t>
  </x:si>
  <x:si>
    <x:t xml:space="preserve">Rufos e contra-rufos danificados ou ausentes</x:t>
  </x:si>
  <x:si>
    <x:t xml:space="preserve">Instalação inadequada, ausência de vedação nos encontros.</x:t>
  </x:si>
  <x:si>
    <x:t xml:space="preserve">IT-061</x:t>
  </x:si>
  <x:si>
    <x:t xml:space="preserve">Estrutura de cobertura comprometida</x:t>
  </x:si>
  <x:si>
    <x:t xml:space="preserve">Subdimensionamento, madeira sem tratamento, contraventamento ausente.</x:t>
  </x:si>
  <x:si>
    <x:t xml:space="preserve">Estrutura de sistemas de cobertura (Tabela 1) — solidez e segurança</x:t>
  </x:si>
  <x:si>
    <x:t xml:space="preserve">Estrutura de cobertura de qualquer natureza integra a Tabela 1.</x:t>
  </x:si>
  <x:si>
    <x:t xml:space="preserve">IT-062</x:t>
  </x:si>
  <x:si>
    <x:t xml:space="preserve">Esquadrias</x:t>
  </x:si>
  <x:si>
    <x:t xml:space="preserve">Dificuldade de abertura</x:t>
  </x:si>
  <x:si>
    <x:t xml:space="preserve">Instalação fora de esquadro, desalinhamento, ferragem inadequada.</x:t>
  </x:si>
  <x:si>
    <x:t xml:space="preserve">Esquadrias — desencaixe; deslocamento</x:t>
  </x:si>
  <x:si>
    <x:t xml:space="preserve">3 anos se caracterizado como folga quanto a vedação, encaixe e fixação.</x:t>
  </x:si>
  <x:si>
    <x:t xml:space="preserve">IT-063</x:t>
  </x:si>
  <x:si>
    <x:t xml:space="preserve">Vedação inadequada</x:t>
  </x:si>
  <x:si>
    <x:t xml:space="preserve">Instalação sem calafetação, deficiência de vedação no contramarco.</x:t>
  </x:si>
  <x:si>
    <x:t xml:space="preserve">Esquadrias — guarnições e elementos de vedação — perda de vedação</x:t>
  </x:si>
  <x:si>
    <x:t xml:space="preserve">1 ano se caracterizado como desencaixe ou deslocamento.</x:t>
  </x:si>
  <x:si>
    <x:t xml:space="preserve">IT-064</x:t>
  </x:si>
  <x:si>
    <x:t xml:space="preserve">Infiltração em janelas</x:t>
  </x:si>
  <x:si>
    <x:t xml:space="preserve">Ausência de pingadeira ou contramarco, selante mal aplicado, peitoril sem caimento.</x:t>
  </x:si>
  <x:si>
    <x:t xml:space="preserve">Vedação da interface vertical e horizontal da esquadria — perda de estanqueidade</x:t>
  </x:si>
  <x:si>
    <x:t xml:space="preserve">3 anos se a perda de estanqueidade for entre componentes da própria esquadria.</x:t>
  </x:si>
  <x:si>
    <x:t xml:space="preserve">IT-065</x:t>
  </x:si>
  <x:si>
    <x:t xml:space="preserve">Comprometimento da integridade das esquadrias</x:t>
  </x:si>
  <x:si>
    <x:t xml:space="preserve">Material inadequado ao ambiente, dano durante a obra, corrosão precoce.</x:t>
  </x:si>
  <x:si>
    <x:t xml:space="preserve">Perfis principais da esquadria — ruptura, deformação, flexão, trincas</x:t>
  </x:si>
  <x:si>
    <x:t xml:space="preserve">Atenção à NOTA 7: os prazos não se aplicam a esquadrias de ferro produzidas sob medida em processo fabril não industrializado — comum em residência unifamiliar.</x:t>
  </x:si>
  <x:si>
    <x:t xml:space="preserve">IT-066</x:t>
  </x:si>
  <x:si>
    <x:t xml:space="preserve">Ausência de pingadeira em peitoril e platibanda</x:t>
  </x:si>
  <x:si>
    <x:t xml:space="preserve">Detalhe suprimido em projeto ou execução.</x:t>
  </x:si>
  <x:si>
    <x:t xml:space="preserve">Não previsto na Tabela 2 — item de projeto</x:t>
  </x:si>
  <x:si>
    <x:t xml:space="preserve">Enquadrar pela consequência: infiltração em esquadria (1 ano) ou em vedação/revestimento (3 anos).</x:t>
  </x:si>
  <x:si>
    <x:t xml:space="preserve">T3-01</x:t>
  </x:si>
  <x:si>
    <x:t xml:space="preserve">Vedações verticais externas e internas</x:t>
  </x:si>
  <x:si>
    <x:t xml:space="preserve">Portas corta-fogo</x:t>
  </x:si>
  <x:si>
    <x:t xml:space="preserve">Falha de regulagem de dobradiças e molas. Ocorrências em acabamentos: manchas, lascamento de pintura ou acabamento superficial</x:t>
  </x:si>
  <x:si>
    <x:t xml:space="preserve">NBR 17170 — Tabela 3</x:t>
  </x:si>
  <x:si>
    <x:t xml:space="preserve">Falha aparente / ocorrência em acabamento — identificação no ato da entrega (Tabela 3)</x:t>
  </x:si>
  <x:si>
    <x:t xml:space="preserve">A Tabela 3 não estabelece prazo de garantia em anos: os prazos de reclamação seguem a legislação vigente (ver aba 'Entrega T3', item 9.4). Aplicável a residência unifamiliar: Não.</x:t>
  </x:si>
  <x:si>
    <x:t xml:space="preserve">T3-02</x:t>
  </x:si>
  <x:si>
    <x:t xml:space="preserve">Portas de acesso e internas de áreas comuns e privativas</x:t>
  </x:si>
  <x:si>
    <x:t xml:space="preserve">Ocorrências em acabamentos: manchas, lascamento de pintura ou acabamento superficial</x:t>
  </x:si>
  <x:si>
    <x:t xml:space="preserve">A Tabela 3 não estabelece prazo de garantia em anos: os prazos de reclamação seguem a legislação vigente (ver aba 'Entrega T3', item 9.4). Aplicável a residência unifamiliar: Sim.</x:t>
  </x:si>
  <x:si>
    <x:t xml:space="preserve">T3-03</x:t>
  </x:si>
  <x:si>
    <x:t xml:space="preserve">Revestimentos decorativos de qualquer natureza</x:t>
  </x:si>
  <x:si>
    <x:t xml:space="preserve">Ocorrências em acabamentos: lascamento, diferenças de tonalidades, manchas e riscos, falhas de rejuntamento</x:t>
  </x:si>
  <x:si>
    <x:t xml:space="preserve">T3-04</x:t>
  </x:si>
  <x:si>
    <x:t xml:space="preserve">Pinturas</x:t>
  </x:si>
  <x:si>
    <x:t xml:space="preserve">Ocorrências em acabamentos: lascamento, diferenças de tonalidades, manchas e riscos</x:t>
  </x:si>
  <x:si>
    <x:t xml:space="preserve">T3-05</x:t>
  </x:si>
  <x:si>
    <x:t xml:space="preserve">Esquadrias de alumínio, madeira, aço e PVC</x:t>
  </x:si>
  <x:si>
    <x:t xml:space="preserve">Falha pela dificuldade de abertura ou fechamento. Ocorrências em acabamentos: riscos, manchas, amassamento, lascamento</x:t>
  </x:si>
  <x:si>
    <x:t xml:space="preserve">T3-06</x:t>
  </x:si>
  <x:si>
    <x:t xml:space="preserve">Vidros</x:t>
  </x:si>
  <x:si>
    <x:t xml:space="preserve">Ocorrências em acabamentos: lascamento, trincas, quebras, riscos ou manchas</x:t>
  </x:si>
  <x:si>
    <x:t xml:space="preserve">T3-07</x:t>
  </x:si>
  <x:si>
    <x:t xml:space="preserve">Pisos</x:t>
  </x:si>
  <x:si>
    <x:t xml:space="preserve">Contrapiso</x:t>
  </x:si>
  <x:si>
    <x:t xml:space="preserve">Ocorrências em acabamentos: depressões e irregularidades, quebra</x:t>
  </x:si>
  <x:si>
    <x:t xml:space="preserve">T3-08</x:t>
  </x:si>
  <x:si>
    <x:t xml:space="preserve">Revestimentos/acabamento de qualquer natureza, inclusive o rejuntamento</x:t>
  </x:si>
  <x:si>
    <x:t xml:space="preserve">Ocorrências em acabamentos: lascamento, diferenças de tonalidades, manchas e riscos, falhas de rejuntamento, falhas de polimento</x:t>
  </x:si>
  <x:si>
    <x:t xml:space="preserve">T3-09</x:t>
  </x:si>
  <x:si>
    <x:t xml:space="preserve">Forros</x:t>
  </x:si>
  <x:si>
    <x:t xml:space="preserve">Superfície</x:t>
  </x:si>
  <x:si>
    <x:t xml:space="preserve">Ocorrências em acabamentos: lascamentos, quebras, manchas, irregularidades</x:t>
  </x:si>
  <x:si>
    <x:t xml:space="preserve">T3-10</x:t>
  </x:si>
  <x:si>
    <x:t xml:space="preserve">Sistemas hidráulicos</x:t>
  </x:si>
  <x:si>
    <x:t xml:space="preserve">Louças sanitárias, banheiras, bancadas e cubas</x:t>
  </x:si>
  <x:si>
    <x:t xml:space="preserve">Ocorrências em acabamentos: lascamento, quebra, manchas, fixação, riscos ou amassados</x:t>
  </x:si>
  <x:si>
    <x:t xml:space="preserve">T3-11</x:t>
  </x:si>
  <x:si>
    <x:t xml:space="preserve">Metais sanitários</x:t>
  </x:si>
  <x:si>
    <x:t xml:space="preserve">Ocorrências em acabamentos: manchamento. Falhas de fixação; falha de abertura e fechamento</x:t>
  </x:si>
  <x:si>
    <x:t xml:space="preserve">T3-12</x:t>
  </x:si>
  <x:si>
    <x:t xml:space="preserve">Sistemas elétricos</x:t>
  </x:si>
  <x:si>
    <x:t xml:space="preserve">Espelhos de tomadas, interruptores e outros dispositivos</x:t>
  </x:si>
  <x:si>
    <x:t xml:space="preserve">Falha de fixação e de instalação, componentes danificados</x:t>
  </x:si>
  <x:si>
    <x:t xml:space="preserve">T3-13</x:t>
  </x:si>
  <x:si>
    <x:t xml:space="preserve">Piscinas</x:t>
  </x:si>
  <x:si>
    <x:t xml:space="preserve">Revestimentos, iluminação</x:t>
  </x:si>
  <x:si>
    <x:t xml:space="preserve">Ocorrências em acabamentos: lascamento, quebras, diferença de tonalidade</x:t>
  </x:si>
  <x:si>
    <x:t xml:space="preserve">A Tabela 3 não estabelece prazo de garantia em anos: os prazos de reclamação seguem a legislação vigente (ver aba 'Entrega T3', item 9.4). Aplicável a residência unifamiliar: Quando houver.</x:t>
  </x:si>
  <x:si>
    <x:t xml:space="preserve">T3-14</x:t>
  </x:si>
  <x:si>
    <x:t xml:space="preserve">Quadras poliesportivas</x:t>
  </x:si>
  <x:si>
    <x:t xml:space="preserve">Equipamentos da quadra, pisos e alambrados</x:t>
  </x:si>
  <x:si>
    <x:t xml:space="preserve">Ocorrências em acabamentos: lascamento e falhas na pintura, riscos ou manchas</x:t>
  </x:si>
  <x:si>
    <x:t xml:space="preserve">T3-15</x:t>
  </x:si>
  <x:si>
    <x:t xml:space="preserve">Prevenção e combate a incêndio</x:t>
  </x:si>
  <x:si>
    <x:t xml:space="preserve">Sinalização</x:t>
  </x:si>
  <x:si>
    <x:t xml:space="preserve">Ocorrências em acabamentos: trincas, quebras, amassados ou manchas</x:t>
  </x:si>
  <x:si>
    <x:t xml:space="preserve">T3-16</x:t>
  </x:si>
  <x:si>
    <x:t xml:space="preserve">Acessibilidade</x:t>
  </x:si>
  <x:si>
    <x:t xml:space="preserve">LANÇAMENTOS DE CAMPO — OBRA × ITEM</x:t>
  </x:si>
  <x:si>
    <x:t xml:space="preserve">Uma linha por par obra × item observado. Preencher apenas as células amarelas: ID_Obra, ID_Item, Ocorrência, Descrição, G, U e T. As demais colunas são calculadas — ID_Lancamento, Data da vistoria (puxada da aba 'Obras'), Pontuação GUT, Prioridade, Prazo de garantia (puxado do 'Catalogo') e Situação da garantia. Não é necessário lançar os 82 itens de cada unidade: lance o que for efetivamente verificado.</x:t>
  </x:si>
  <x:si>
    <x:t xml:space="preserve">ID_Lancamento</x:t>
  </x:si>
  <x:si>
    <x:t xml:space="preserve">Ocorrência (Sim/Não)</x:t>
  </x:si>
  <x:si>
    <x:t xml:space="preserve">Descrição da irregularidade</x:t>
  </x:si>
  <x:si>
    <x:t xml:space="preserve">G</x:t>
  </x:si>
  <x:si>
    <x:t xml:space="preserve">U</x:t>
  </x:si>
  <x:si>
    <x:t xml:space="preserve">T</x:t>
  </x:si>
  <x:si>
    <x:t xml:space="preserve">Pontuação GUT</x:t>
  </x:si>
  <x:si>
    <x:t xml:space="preserve">Prioridade</x:t>
  </x:si>
  <x:si>
    <x:t xml:space="preserve">Situação da garantia</x:t>
  </x:si>
  <x:si>
    <x:t xml:space="preserve">PAINEL DE CONSOLIDAÇÃO — AMOSTRA DE UNIDADES</x:t>
  </x:si>
  <x:si>
    <x:t xml:space="preserve">Aba totalmente calculada — nada a digitar. Alimentada pelas abas 'Obras' e 'Lancamentos'. Todos os totais consideram apenas os lançamentos com Ocorrência = Sim. As unidades sem dados preenchidos aparecem zeradas.</x:t>
  </x:si>
  <x:si>
    <x:t xml:space="preserve">BLOCO 1 — RESULTADOS POR UNIDADE</x:t>
  </x:si>
  <x:si>
    <x:t xml:space="preserve">Regime normativo</x:t>
  </x:si>
  <x:si>
    <x:t xml:space="preserve">Idade (anos)</x:t>
  </x:si>
  <x:si>
    <x:t xml:space="preserve">Lançamentos</x:t>
  </x:si>
  <x:si>
    <x:t xml:space="preserve">Ocorrências</x:t>
  </x:si>
  <x:si>
    <x:t xml:space="preserve">Prior. 1</x:t>
  </x:si>
  <x:si>
    <x:t xml:space="preserve">Prior. 2</x:t>
  </x:si>
  <x:si>
    <x:t xml:space="preserve">Prior. 3</x:t>
  </x:si>
  <x:si>
    <x:t xml:space="preserve">VIGENTE</x:t>
  </x:si>
  <x:si>
    <x:t xml:space="preserve">VENCE ≤ 6 MESES</x:t>
  </x:si>
  <x:si>
    <x:t xml:space="preserve">VENCIDA</x:t>
  </x:si>
  <x:si>
    <x:t xml:space="preserve">Sem prazo</x:t>
  </x:si>
  <x:si>
    <x:t xml:space="preserve">Prior. 1 VENCIDA</x:t>
  </x:si>
  <x:si>
    <x:t xml:space="preserve">BLOCO 2 — CONSOLIDADO DA AMOSTRA</x:t>
  </x:si>
  <x:si>
    <x:t xml:space="preserve">Indicador</x:t>
  </x:si>
  <x:si>
    <x:t xml:space="preserve">Valor</x:t>
  </x:si>
  <x:si>
    <x:t xml:space="preserve">Observação</x:t>
  </x:si>
  <x:si>
    <x:t xml:space="preserve">Unidades cadastradas</x:t>
  </x:si>
  <x:si>
    <x:t xml:space="preserve">Linhas da aba 'Obras' com identificação preenchida.</x:t>
  </x:si>
  <x:si>
    <x:t xml:space="preserve">Unidades com vistoria realizada</x:t>
  </x:si>
  <x:si>
    <x:t xml:space="preserve">Com data de vistoria informada.</x:t>
  </x:si>
  <x:si>
    <x:t xml:space="preserve">Lançamentos registrados</x:t>
  </x:si>
  <x:si>
    <x:t xml:space="preserve">Total de pares obra × item lançados.</x:t>
  </x:si>
  <x:si>
    <x:t xml:space="preserve">Ocorrências registradas (Sim)</x:t>
  </x:si>
  <x:si>
    <x:t xml:space="preserve">Base de todos os percentuais deste painel.</x:t>
  </x:si>
  <x:si>
    <x:t xml:space="preserve">Itens verificados sem ocorrência (Não)</x:t>
  </x:si>
  <x:si>
    <x:t xml:space="preserve">Verificados e conformes.</x:t>
  </x:si>
  <x:si>
    <x:t xml:space="preserve">Ocorrências — Prioridade 1</x:t>
  </x:si>
  <x:si>
    <x:t xml:space="preserve">GUT ≥ 512. Risco à saúde/segurança ou comprometimento significativo do desempenho.</x:t>
  </x:si>
  <x:si>
    <x:t xml:space="preserve">Ocorrências — Prioridade 2</x:t>
  </x:si>
  <x:si>
    <x:t xml:space="preserve">GUT de 108 a 511. Perda parcial de desempenho com potencial de evolução.</x:t>
  </x:si>
  <x:si>
    <x:t xml:space="preserve">Ocorrências — Prioridade 3</x:t>
  </x:si>
  <x:si>
    <x:t xml:space="preserve">GUT de 1 a 107. Baixa criticidade.</x:t>
  </x:si>
  <x:si>
    <x:t xml:space="preserve">Ocorrências com garantia VIGENTE</x:t>
  </x:si>
  <x:si>
    <x:t xml:space="preserve">Acionáveis junto ao construtor, atendidas as condições do item 6 da NBR 17170.</x:t>
  </x:si>
  <x:si>
    <x:t xml:space="preserve">Ocorrências que vencem em até 6 meses</x:t>
  </x:si>
  <x:si>
    <x:t xml:space="preserve">Janela crítica de notificação ao construtor.</x:t>
  </x:si>
  <x:si>
    <x:t xml:space="preserve">Ocorrências com garantia VENCIDA</x:t>
  </x:si>
  <x:si>
    <x:t xml:space="preserve">Prazo expirado sem constatação técnica no período.</x:t>
  </x:si>
  <x:si>
    <x:t xml:space="preserve">Ocorrências sem prazo tipificado</x:t>
  </x:si>
  <x:si>
    <x:t xml:space="preserve">Itens da Tabela 3 (ato da entrega), manutenção do usuário ou não tipificados.</x:t>
  </x:si>
  <x:si>
    <x:t xml:space="preserve">Maior pontuação GUT registrada</x:t>
  </x:si>
  <x:si>
    <x:t xml:space="preserve">Identifica a ocorrência mais crítica da amostra.</x:t>
  </x:si>
  <x:si>
    <x:t xml:space="preserve">% das ocorrências com garantia já vencida</x:t>
  </x:si>
  <x:si>
    <x:t xml:space="preserve">Quanto maior, mais forte o argumento do vazio entre garantia e inspeção.</x:t>
  </x:si>
  <x:si>
    <x:t xml:space="preserve">% das ocorrências classificadas como Prioridade 1</x:t>
  </x:si>
  <x:si>
    <x:t xml:space="preserve">Peso das ocorrências de intervenção imediata na amostra.</x:t>
  </x:si>
  <x:si>
    <x:t xml:space="preserve">BLOCO 3 — INDICADOR CENTRAL DA PESQUISA</x:t>
  </x:si>
  <x:si>
    <x:t xml:space="preserve">Ocorrências que exigiam intervenção imediata (Prioridade 1) e cuja garantia já estava vencida no momento da vistoria — o dano existia, era grave, e o prazo para acionar o construtor havia expirado sem constatação técnica.</x:t>
  </x:si>
  <x:si>
    <x:t xml:space="preserve">Prioridade 1 com garantia VENCIDA (quantidade)</x:t>
  </x:si>
  <x:si>
    <x:t xml:space="preserve">Indicador central do trabalho.</x:t>
  </x:si>
  <x:si>
    <x:t xml:space="preserve">% sobre o total de ocorrências</x:t>
  </x:si>
  <x:si>
    <x:t xml:space="preserve">Peso do indicador em toda a amostra.</x:t>
  </x:si>
  <x:si>
    <x:t xml:space="preserve">% sobre as ocorrências de Prioridade 1</x:t>
  </x:si>
  <x:si>
    <x:t xml:space="preserve">Entre as ocorrências mais graves, a parcela já fora de garantia.</x:t>
  </x:si>
  <x:si>
    <x:t xml:space="preserve">% sobre as ocorrências com garantia vencida</x:t>
  </x:si>
  <x:si>
    <x:t xml:space="preserve">Entre as vencidas, a parcela de maior criticidade.</x:t>
  </x:si>
  <x:si>
    <x:t xml:space="preserve">BLOCO 4 — UNIDADES POR REGIME NORMATIVO</x:t>
  </x:si>
  <x:si>
    <x:t xml:space="preserve">Unidades sob a NBR 17170:2022</x:t>
  </x:si>
  <x:si>
    <x:t xml:space="preserve">Projeto protocolado APÓS 10/06/2023.</x:t>
  </x:si>
  <x:si>
    <x:t xml:space="preserve">Unidades sob o regime anterior</x:t>
  </x:si>
  <x:si>
    <x:t xml:space="preserve">Anexo D da NBR 15575 — incluía prazos de 2 anos, extintos pela NBR 17170.</x:t>
  </x:si>
  <x:si>
    <x:t xml:space="preserve">Unidades sem data de protocolo informada</x:t>
  </x:si>
  <x:si>
    <x:t xml:space="preserve">Regime indefinido até que a data de protocolo seja preenchida na aba 'Obras'.</x:t>
  </x:si>
  <x:si>
    <x:t xml:space="preserve">Data-limite de aplicação do regime anterior</x:t>
  </x:si>
  <x:si>
    <x:t xml:space="preserve">Publicação da NBR 17170 em 12/12/2022 + 180 dias.</x:t>
  </x:si>
  <x:si>
    <x:t xml:space="preserve">SÍNTESE DOS PRAZOS — ITENS APLICÁVEIS A RESIDÊNCIA UNIFAMILIAR</x:t>
  </x:si>
  <x:si>
    <x:t xml:space="preserve">Síntese de apoio, organizada por patamar de prazo. NÃO substitui a norma: a Tabela 2 da NBR 17170 contém 182 itens e deve ser consultada no texto oficial da ABNT antes de qualquer citação. Elaborado a partir de ABNT NBR 17170:2022 e de FORMAGINI, S. Patologias das Construções — Módulo I, Unidade IV. UFMS/FAENG, 2026. A ABNT NBR 16747:2020 não estabelece periodicidade obrigatória de inspeção predial; a obrigatoriedade, quando existe, decorre de legislação municipal ou estadual.</x:t>
  </x:si>
  <x:si>
    <x:t xml:space="preserve">Prazo</x:t>
  </x:si>
  <x:si>
    <x:t xml:space="preserve">Sistema / componente</x:t>
  </x:si>
  <x:si>
    <x:t xml:space="preserve">Tipo de falha coberta</x:t>
  </x:si>
  <x:si>
    <x:t xml:space="preserve">5 anos</x:t>
  </x:si>
  <x:si>
    <x:t xml:space="preserve">Contenções, fundações, estrutura, estrutura de pisos e coberturas</x:t>
  </x:si>
  <x:si>
    <x:t xml:space="preserve">Tabela 1 — solidez e segurança (garantia legal, Código Civil art. 618). Fissuras e deformações além dos limites normativos.</x:t>
  </x:si>
  <x:si>
    <x:t xml:space="preserve">Impermeabilização (qualquer elemento)</x:t>
  </x:si>
  <x:si>
    <x:t xml:space="preserve">Perda de estanqueidade.</x:t>
  </x:si>
  <x:si>
    <x:t xml:space="preserve">Vedações verticais internas e externas</x:t>
  </x:si>
  <x:si>
    <x:t xml:space="preserve">Perda de integridade; dessolidarização.</x:t>
  </x:si>
  <x:si>
    <x:t xml:space="preserve">Revestimento de fachada (argamassado e cerâmico aderido)</x:t>
  </x:si>
  <x:si>
    <x:t xml:space="preserve">Dessolidarização.</x:t>
  </x:si>
  <x:si>
    <x:t xml:space="preserve">Prumadas/colunas hidráulicas e reservatórios</x:t>
  </x:si>
  <x:si>
    <x:t xml:space="preserve">Ruptura, perda de integridade, perda de estanqueidade.</x:t>
  </x:si>
  <x:si>
    <x:t xml:space="preserve">Prumadas de distribuição elétrica</x:t>
  </x:si>
  <x:si>
    <x:t xml:space="preserve">Falhas de instalação.</x:t>
  </x:si>
  <x:si>
    <x:t xml:space="preserve">Esquadrias e portas — perfis principais</x:t>
  </x:si>
  <x:si>
    <x:t xml:space="preserve">Ruptura, deformação, flexão, trincas.</x:t>
  </x:si>
  <x:si>
    <x:t xml:space="preserve">Muros externos</x:t>
  </x:si>
  <x:si>
    <x:t xml:space="preserve">Ruptura / tombamento.</x:t>
  </x:si>
  <x:si>
    <x:t xml:space="preserve">3 anos</x:t>
  </x:si>
  <x:si>
    <x:t xml:space="preserve">Camada de regularização (contrapiso)</x:t>
  </x:si>
  <x:si>
    <x:t xml:space="preserve">Dessolidarização; desagregação/pulverulência.</x:t>
  </x:si>
  <x:si>
    <x:t xml:space="preserve">Revestimento argamassado de vedação</x:t>
  </x:si>
  <x:si>
    <x:t xml:space="preserve">Desgaste, empolamento, descascamento, esfarelamento, perda de estanqueidade.</x:t>
  </x:si>
  <x:si>
    <x:t xml:space="preserve">Revestimento cerâmico interno</x:t>
  </x:si>
  <x:si>
    <x:t xml:space="preserve">Desgaste; dessolidarização.</x:t>
  </x:si>
  <x:si>
    <x:t xml:space="preserve">Tinta látex premium/super premium e textura</x:t>
  </x:si>
  <x:si>
    <x:t xml:space="preserve">Perda de integridade da película, eflorescência, bolor, fungo, mofo, algas.</x:t>
  </x:si>
  <x:si>
    <x:t xml:space="preserve">Selantes e juntas de dilatação em fachada</x:t>
  </x:si>
  <x:si>
    <x:t xml:space="preserve">Perda de estanqueidade / de aderência.</x:t>
  </x:si>
  <x:si>
    <x:t xml:space="preserve">Fissuração.</x:t>
  </x:si>
  <x:si>
    <x:t xml:space="preserve">Forros e telhamento</x:t>
  </x:si>
  <x:si>
    <x:t xml:space="preserve">Dessolidarização ou ruptura.</x:t>
  </x:si>
  <x:si>
    <x:t xml:space="preserve">Ramais/sub-ramais hidráulicos, circuitos elétricos, SPDA</x:t>
  </x:si>
  <x:si>
    <x:t xml:space="preserve">Esquadrias — guarnições e elementos de vedação</x:t>
  </x:si>
  <x:si>
    <x:t xml:space="preserve">Perda de vedação.</x:t>
  </x:si>
  <x:si>
    <x:t xml:space="preserve">Pavimentação externa de acesso de pedestres</x:t>
  </x:si>
  <x:si>
    <x:t xml:space="preserve">1 ano</x:t>
  </x:si>
  <x:si>
    <x:t xml:space="preserve">Rejuntamento (piso e parede, interno e externo)</x:t>
  </x:si>
  <x:si>
    <x:t xml:space="preserve">Desgaste; dessolidarização; perda de aderência.</x:t>
  </x:si>
  <x:si>
    <x:t xml:space="preserve">Revestimento/acabamento de piso e sua fixação</x:t>
  </x:si>
  <x:si>
    <x:t xml:space="preserve">Perda de aderência; desgaste.</x:t>
  </x:si>
  <x:si>
    <x:t xml:space="preserve">Tinta látex standard, esmalte sintético, tinta a óleo, verniz</x:t>
  </x:si>
  <x:si>
    <x:t xml:space="preserve">Perda de integridade da película, eflorescência, bolhas, bolor, fungo, mofo, algas.</x:t>
  </x:si>
  <x:si>
    <x:t xml:space="preserve">Rufos e calhas</x:t>
  </x:si>
  <x:si>
    <x:t xml:space="preserve">Falha de fixação e perda de estanqueidade.</x:t>
  </x:si>
  <x:si>
    <x:t xml:space="preserve">Telhamento</x:t>
  </x:si>
  <x:si>
    <x:t xml:space="preserve">Perda de estanqueidade; deformações e permeabilidade.</x:t>
  </x:si>
  <x:si>
    <x:t xml:space="preserve">Deformações, empenamento, fissuras.</x:t>
  </x:si>
  <x:si>
    <x:t xml:space="preserve">Deterioração por umidade.</x:t>
  </x:si>
  <x:si>
    <x:t xml:space="preserve">Esquadrias e portas</x:t>
  </x:si>
  <x:si>
    <x:t xml:space="preserve">Desencaixe; deslocamento; vedação da interface com a parede.</x:t>
  </x:si>
  <x:si>
    <x:t xml:space="preserve">Louças, metais, ralos, sifões, tomadas, disjuntores, luminárias</x:t>
  </x:si>
  <x:si>
    <x:t xml:space="preserve">Falhas dos produtos.</x:t>
  </x:si>
  <x:si>
    <x:t xml:space="preserve">Rodapés; pavimento de acesso de veículos; portões</x:t>
  </x:si>
  <x:si>
    <x:t xml:space="preserve">Desgaste; dessolidarização; falhas de produto e instalação.</x:t>
  </x:si>
  <x:si>
    <x:t xml:space="preserve">Na entrega</x:t>
  </x:si>
  <x:si>
    <x:t xml:space="preserve">Acabamentos em geral (Tabela 3)</x:t>
  </x:si>
  <x:si>
    <x:t xml:space="preserve">Manchas, lascamento, riscos, diferença de tonalidade, dificuldade de abertura. Identificação devida no ato do recebimento; art. 26, II, do CDC: 90 dias para vício aparente.</x:t>
  </x:si>
  <x:si>
    <x:t xml:space="preserve">180 dias</x:t>
  </x:si>
  <x:si>
    <x:t xml:space="preserve">Itens não previstos na Tabela 2</x:t>
  </x:si>
  <x:si>
    <x:t xml:space="preserve">Prazo do fabricante; se não especificado, 180 dias.</x:t>
  </x:si>
  <x:si>
    <x:t xml:space="preserve">TERMO DE VISTORIA DE ENTREGA — FALHAS APARENTES E OCORRÊNCIAS EM ACABAMENTOS</x:t>
  </x:si>
  <x:si>
    <x:t xml:space="preserve">Reprodução estrutural da Tabela 3 da ABNT NBR 17170:2022 (item 9.4), com os 16 itens ali arrolados. ATENÇÃO — a Tabela 3 NÃO estabelece prazos de garantia em anos: relaciona falhas aparentes e ocorrências em acabamentos cuja IDENTIFICAÇÃO deve ser feita no ato da entrega da edificação ou da unidade. A esses itens aplicam-se os prazos de reclamação da legislação vigente, e não os patamares de 1, 3 ou 5 anos das Tabelas 1 e 2.</x:t>
  </x:si>
  <x:si>
    <x:t xml:space="preserve">FUNDAMENTO DO REGISTRO — A Norma recomenda o registro formal das falhas aparentes identificadas na entrega: a ausência de registro pode indicar que a ocorrência é posterior ao recebimento e, portanto, atribuível ao usuário, e não ao processo de produção da edificação.</x:t>
  </x:si>
  <x:si>
    <x:t xml:space="preserve">LEGENDA — Preencher apenas as células amarelas. As colunas A, B e C reproduzem a Tabela 3 e não devem ser alteradas. A coluna D indica a aplicabilidade a residência unifamiliar, recorte deste trabalho.</x:t>
  </x:si>
  <x:si>
    <x:t xml:space="preserve">Sistema</x:t>
  </x:si>
  <x:si>
    <x:t xml:space="preserve">Descrição (componente)</x:t>
  </x:si>
  <x:si>
    <x:t xml:space="preserve">Tipos de falhas aparentes e ocorrências em acabamentos</x:t>
  </x:si>
  <x:si>
    <x:t xml:space="preserve">Aplicável a residência unifamiliar</x:t>
  </x:si>
  <x:si>
    <x:t xml:space="preserve">Constatado na entrega?</x:t>
  </x:si>
  <x:si>
    <x:t xml:space="preserve">Descrição da ocorrência</x:t>
  </x:si>
  <x:si>
    <x:t xml:space="preserve">Registro fotográfico</x:t>
  </x:si>
  <x:si>
    <x:t xml:space="preserve">Não</x:t>
  </x:si>
  <x:si>
    <x:t xml:space="preserve">Sim</x:t>
  </x:si>
  <x:si>
    <x:t xml:space="preserve">Quando houver</x:t>
  </x:si>
  <x:si>
    <x:t xml:space="preserve">SÍNTESE DA VISTORIA DE ENTREGA</x:t>
  </x:si>
  <x:si>
    <x:t xml:space="preserve">Itens da Tabela 3 relacionados</x:t>
  </x:si>
  <x:si>
    <x:t xml:space="preserve">Total conforme a Tabela 3 da ABNT NBR 17170:2022.</x:t>
  </x:si>
  <x:si>
    <x:t xml:space="preserve">Ocorrências constatadas na entrega</x:t>
  </x:si>
  <x:si>
    <x:t xml:space="preserve">Registradas formalmente neste termo.</x:t>
  </x:si>
  <x:si>
    <x:t xml:space="preserve">Itens sem ocorrência</x:t>
  </x:si>
  <x:si>
    <x:t xml:space="preserve">Verificados e conformes no ato da entrega.</x:t>
  </x:si>
  <x:si>
    <x:t xml:space="preserve">Itens não aplicáveis a esta unidade</x:t>
  </x:si>
  <x:si>
    <x:t xml:space="preserve">Marcados como não aplicáveis pelo inspetor.</x:t>
  </x:si>
  <x:si>
    <x:t xml:space="preserve">Itens ainda não verificados</x:t>
  </x:si>
  <x:si>
    <x:t xml:space="preserve">Devem ser percorridos antes da assinatura.</x:t>
  </x:si>
  <x:si>
    <x:t xml:space="preserve">NOTA SOBRE OS PRAZOS DE RECLAMAÇÃO</x:t>
  </x:si>
  <x:si>
    <x:t xml:space="preserve">A ABNT NBR 17170:2022, no item 9.4, determina que a identificação das falhas aparentes relacionadas na Tabela 3 seja feita no ato da entrega, remetendo os prazos de reclamação do reparo à legislação vigente e aplicável, sem fixar prazo próprio nem indicar dispositivo legal específico. Em relação de consumo, o prazo usualmente invocado para vício aparente em produto durável é o do art. 26, II, do CDC (90 dias da entrega efetiva). Esse enquadramento é interpretação jurídica e deve ser atribuído à doutrina consultada, não à Norma.</x:t>
  </x:si>
  <x:si>
    <x:t xml:space="preserve">IDENTIFICAÇÃO E ASSINATURAS</x:t>
  </x:si>
  <x:si>
    <x:t xml:space="preserve">Unidade / código da amostra</x:t>
  </x:si>
  <x:si>
    <x:t xml:space="preserve">Data da entrega (habite-se ou auto de conclusão)</x:t>
  </x:si>
  <x:si>
    <x:t xml:space="preserve">Data desta vistoria</x:t>
  </x:si>
  <x:si>
    <x:t xml:space="preserve">Responsável técnico pela vistoria / CREA</x:t>
  </x:si>
  <x:si>
    <x:t xml:space="preserve">Representante do incorporador ou construtor</x:t>
  </x:si>
  <x:si>
    <x:t xml:space="preserve">Proprietário ou representante legal</x:t>
  </x:si>
  <x:si>
    <x:t xml:space="preserve">_______________________________________</x:t>
  </x:si>
  <x:si>
    <x:t xml:space="preserve">Responsável técnico</x:t>
  </x:si>
  <x:si>
    <x:t xml:space="preserve">Construtor / incorporador</x:t>
  </x:si>
  <x:si>
    <x:t xml:space="preserve">Proprietário</x:t>
  </x:si>
  <x:si>
    <x:t xml:space="preserve">Fonte: ABNT NBR 17170:2022, item 9.4 e Tabela 3. Elaboração própria.</x:t>
  </x:si>
  <x:si>
    <x:t xml:space="preserve">CHECKLIST DE AVALIAÇÃO E CLASSIFICAÇÃO DE IRREGULARIDADES</x:t>
  </x:si>
  <x:si>
    <x:t xml:space="preserve">Fonte: FERNANDES, Lívia Libano; FORMAGINI, Sidiclei. Proposta de Roteiro Metodológico para Inspeção Predial Preventiva Baseada na ABNT NBR 16747:2020. UFMS/FAENG, 2026 — Apêndice B.</x:t>
  </x:si>
  <x:si>
    <x:t xml:space="preserve">LEGENDA — Preencher apenas as células com fundo amarelo (Ocorrência, Descrição, G, U, T, Observações). Pontuação (GUT = G×U×T) e Prioridade são calculadas automaticamente. Escalas G/U/T: 10 · 8 · 6 · 3 · 1 (ver aba 'Tabelas de apoio'). Ocorrência: preencher Sim / Não.</x:t>
  </x:si>
  <x:si>
    <x:t xml:space="preserve">Ocorrência</x:t>
  </x:si>
  <x:si>
    <x:t xml:space="preserve">Classificação</x:t>
  </x:si>
  <x:si>
    <x:t xml:space="preserve">Possíveis causas</x:t>
  </x:si>
  <x:si>
    <x:t xml:space="preserve">Matriz GUT</x:t>
  </x:si>
  <x:si>
    <x:t xml:space="preserve">Gravidade (G)</x:t>
  </x:si>
  <x:si>
    <x:t xml:space="preserve">Urgência (U)</x:t>
  </x:si>
  <x:si>
    <x:t xml:space="preserve">Tendência (T)</x:t>
  </x:si>
  <x:si>
    <x:t xml:space="preserve">Pontuação</x:t>
  </x:si>
  <x:si>
    <x:t xml:space="preserve">Trinca inclinada a 45°, abertura ~0,6 mm, canto superior da janela do quarto 01 (fachada oeste)</x:t>
  </x:si>
  <x:si>
    <x:t xml:space="preserve">Anomalia Endógena</x:t>
  </x:si>
  <x:si>
    <x:t xml:space="preserve">Ausência, dimensionamento inadequado ou execução deficiente de vergas e contravergas, concentração de tensões sobre os vãos.</x:t>
  </x:si>
  <x:si>
    <x:t xml:space="preserve">EXEMPLO DE PREENCHIMENTO — apagar antes do uso. Registro fotográfico: FOTO-01</x:t>
  </x:si>
  <x:si>
    <x:t xml:space="preserve">Anomalia Endógena, Anomalia Natural</x:t>
  </x:si>
  <x:si>
    <x:t xml:space="preserve">Retração, ausência de juntas, movimentação térmica ou recalque do solo.</x:t>
  </x:si>
  <x:si>
    <x:t xml:space="preserve">Recalque do solo, compactação insuficiente, erosão do subleito.</x:t>
  </x:si>
  <x:si>
    <x:t xml:space="preserve">Desgaste superficial das calçadas e passeios</x:t>
  </x:si>
  <x:si>
    <x:t xml:space="preserve">Anomalia Funcional, Anomalia Natural</x:t>
  </x:si>
  <x:si>
    <x:t xml:space="preserve">Envelhecimento natural, tráfego intenso ou ausência de manutenção.</x:t>
  </x:si>
  <x:si>
    <x:t xml:space="preserve">Buracos ou desagregação do pavimento</x:t>
  </x:si>
  <x:si>
    <x:t xml:space="preserve">Desgaste pelo uso, ação da água e envelhecimento do revestimento.</x:t>
  </x:si>
  <x:si>
    <x:t xml:space="preserve">Falha</x:t>
  </x:si>
  <x:si>
    <x:t xml:space="preserve">Falta de limpeza e manutenção periódica.</x:t>
  </x:si>
  <x:si>
    <x:t xml:space="preserve">Infiltração ou umidade ascendente nos muros de divisa</x:t>
  </x:si>
  <x:si>
    <x:t xml:space="preserve">Anomalia Natural, Anomalia Endógena</x:t>
  </x:si>
  <x:si>
    <x:t xml:space="preserve">Ação da água, ausência de impermeabilização ou falhas construtivas.</x:t>
  </x:si>
  <x:si>
    <x:t xml:space="preserve">Retração, recalque, movimentações térmicas ou deficiência construtiva.</x:t>
  </x:si>
  <x:si>
    <x:t xml:space="preserve">Falha, Anomalia Funcional</x:t>
  </x:si>
  <x:si>
    <x:t xml:space="preserve">Falta de manutenção, desgaste de componentes ou regulagem inadequada.</x:t>
  </x:si>
  <x:si>
    <x:t xml:space="preserve">Anomalia Natural, Falha</x:t>
  </x:si>
  <x:si>
    <x:t xml:space="preserve">Exposição às intempéries e ausência de proteção ou manutenção.</x:t>
  </x:si>
  <x:si>
    <x:t xml:space="preserve">Fissuras em vigas/pilares/lajes</x:t>
  </x:si>
  <x:si>
    <x:t xml:space="preserve">Anomalia Endógena, Anomalia Natural, Anomalia Funcional</x:t>
  </x:si>
  <x:si>
    <x:t xml:space="preserve">Retração do concreto, sobrecargas, recalques diferenciais, movimentações térmicas, deformações estruturais ou envelhecimento da estrutura.</x:t>
  </x:si>
  <x:si>
    <x:t xml:space="preserve">Cobrimento insuficiente, fissuração, carbonatação ou deterioração decorrente da ação do tempo.</x:t>
  </x:si>
  <x:si>
    <x:t xml:space="preserve">Carbonatação, infiltração, cobrimento insuficiente ou envelhecimento da estrutura.</x:t>
  </x:si>
  <x:si>
    <x:t xml:space="preserve">Deformações excessivas</x:t>
  </x:si>
  <x:si>
    <x:t xml:space="preserve">Anomalia Endógena, Anomalia Exógena, Anomalia Funcional</x:t>
  </x:si>
  <x:si>
    <x:t xml:space="preserve">Erros de projeto ou execução, sobrecargas não previstas, perda de capacidade resistente ou intervenções de terceiros.</x:t>
  </x:si>
  <x:si>
    <x:t xml:space="preserve">Intemperismo, ataques químicos, má qualidade do concreto, segregação, corrosão das armaduras ou envelhecimento dos materiais.</x:t>
  </x:si>
  <x:si>
    <x:t xml:space="preserve">Vibrações excessivas</x:t>
  </x:si>
  <x:si>
    <x:t xml:space="preserve">Dimensionamento inadequado, alteração das condições de uso, equipamentos vibratórios, tráfego intenso ou perda de rigidez da estrutura.</x:t>
  </x:si>
  <x:si>
    <x:t xml:space="preserve">Anomalia Natural, Anomalia Endógena, Anomalia Exógena</x:t>
  </x:si>
  <x:si>
    <x:t xml:space="preserve">Características geotécnicas do solo, variações de umidade, dimensionamento inadequado, execução deficiente, escavações ou obras vizinhas.</x:t>
  </x:si>
  <x:si>
    <x:t xml:space="preserve">Anomalia Natural, Anomalia Endógena, Anomalia Funcional</x:t>
  </x:si>
  <x:si>
    <x:t xml:space="preserve">Recalque diferencial, deformações da estrutura, acomodação do solo ou desgaste decorrente do tempo.</x:t>
  </x:si>
  <x:si>
    <x:t xml:space="preserve">Fissuras no piso</x:t>
  </x:si>
  <x:si>
    <x:t xml:space="preserve">Recalques, retração do concreto, movimentações térmicas, deficiência de execução ou envelhecimento dos materiais.</x:t>
  </x:si>
  <x:si>
    <x:t xml:space="preserve">Ascensão capilar da água do solo, ausência ou deficiência de impermeabilização das fundações, deterioração da barreira impermeável ao longo da vida útil.</x:t>
  </x:si>
  <x:si>
    <x:t xml:space="preserve">Fissuras</x:t>
  </x:si>
  <x:si>
    <x:t xml:space="preserve">Retração da argamassa, movimentações térmicas e higroscópicas, deformações estruturais, recalques ou envelhecimento dos materiais.</x:t>
  </x:si>
  <x:si>
    <x:t xml:space="preserve">Trincas em encontros estruturais</x:t>
  </x:si>
  <x:si>
    <x:t xml:space="preserve">Movimentação diferencial entre estrutura e alvenaria, ausência ou deficiência de detalhamento construtivo, deformações térmicas ou retração.</x:t>
  </x:si>
  <x:si>
    <x:t xml:space="preserve">Deslocamento/empolamento</x:t>
  </x:si>
  <x:si>
    <x:t xml:space="preserve">Deficiência de aderência, infiltração de água, movimentações da base, retração da argamassa ou envelhecimento do revestimento.</x:t>
  </x:si>
  <x:si>
    <x:t xml:space="preserve">Umidade/infiltração</x:t>
  </x:si>
  <x:si>
    <x:t xml:space="preserve">Anomalia Natural, Anomalia Endógena, Anomalia Exógena, Falha</x:t>
  </x:si>
  <x:si>
    <x:t xml:space="preserve">Chuvas, umidade ascendente, falhas de impermeabilização, vazamentos em instalações, fissuras ou ausência de manutenção.</x:t>
  </x:si>
  <x:si>
    <x:t xml:space="preserve">Condensação (presença de mofo ou bolor)</x:t>
  </x:si>
  <x:si>
    <x:t xml:space="preserve">Anomalia Endógena, Anomalia Natural, Falha</x:t>
  </x:si>
  <x:si>
    <x:t xml:space="preserve">Ventilação insuficiente, elevada umidade relativa do ar ou uso inadequado dos ambientes.</x:t>
  </x:si>
  <x:si>
    <x:t xml:space="preserve">Presença de umidade, migração de sais solúveis ou deficiência de impermeabilização.</x:t>
  </x:si>
  <x:si>
    <x:t xml:space="preserve">Deficiência de aderência, aplicação inadequada, movimentações da base, infiltração de água ou envelhecimento do sistema.</x:t>
  </x:si>
  <x:si>
    <x:t xml:space="preserve">Deficiência na aderência entre as camadas, execução inadequada, movimentações térmicas ou infiltração.</x:t>
  </x:si>
  <x:si>
    <x:t xml:space="preserve">Retração da argamassa, movimentações térmicas e higroscópicas, deformações da base ou envelhecimento do revestimento.</x:t>
  </x:si>
  <x:si>
    <x:t xml:space="preserve">Exposição às intempéries, umidade, preparação inadequada da superfície, aplicação incorreta da pintura ou envelhecimento.</x:t>
  </x:si>
  <x:si>
    <x:t xml:space="preserve">Infiltrações de água pluvial, umidade ascendente, vazamentos em instalações, falhas de impermeabilização ou ausência de manutenção.</x:t>
  </x:si>
  <x:si>
    <x:t xml:space="preserve">Anomalia Endógena, Anomalia Funcional, Falha</x:t>
  </x:si>
  <x:si>
    <x:t xml:space="preserve">Aplicação inadequada, retração, desgaste natural, deterioração ao longo da vida útil ou ausência de manutenção.</x:t>
  </x:si>
  <x:si>
    <x:t xml:space="preserve">Falha, Anomalia Endógena</x:t>
  </x:si>
  <x:si>
    <x:t xml:space="preserve">Danos ao isolamento, intervenções inadequadas, instalação incorreta ou ausência de manutenção.</x:t>
  </x:si>
  <x:si>
    <x:t xml:space="preserve">Anomalia Endógena, Falha</x:t>
  </x:si>
  <x:si>
    <x:t xml:space="preserve">Execução inadequada ou reparos improvisados.</x:t>
  </x:si>
  <x:si>
    <x:t xml:space="preserve">Projeto inadequado, execução incorreta, ampliações sem adequação técnica ou falta de manutenção.</x:t>
  </x:si>
  <x:si>
    <x:t xml:space="preserve">Dimensionamento incorreto ou substituição inadequada.</x:t>
  </x:si>
  <x:si>
    <x:t xml:space="preserve">Falha de projeto ou intervenções irregulares.</x:t>
  </x:si>
  <x:si>
    <x:t xml:space="preserve">Anomalia Endógena, Falha, Anomalia Funcional</x:t>
  </x:si>
  <x:si>
    <x:t xml:space="preserve">Sobrecarga elétrica, mau contato, dimensionamento inadequado dos condutores ou degradação dos componentes.</x:t>
  </x:si>
  <x:si>
    <x:t xml:space="preserve">Falha de projeto, execução inadequada, deterioração ou remoção do sistema de aterramento.</x:t>
  </x:si>
  <x:si>
    <x:t xml:space="preserve">Tomadas danificadas</x:t>
  </x:si>
  <x:si>
    <x:t xml:space="preserve">Impactos mecânicos, desgaste pelo uso, sobrecarga elétrica ou ausência de manutenção.</x:t>
  </x:si>
  <x:si>
    <x:t xml:space="preserve">SPDA</x:t>
  </x:si>
  <x:si>
    <x:t xml:space="preserve">Aterramento inadequado</x:t>
  </x:si>
  <x:si>
    <x:t xml:space="preserve">Projeto ou execução inadequados, desconexão do sistema, alterações na instalação ou ausência de manutenção.</x:t>
  </x:si>
  <x:si>
    <x:t xml:space="preserve">Sinais de corrosão</x:t>
  </x:si>
  <x:si>
    <x:t xml:space="preserve">Anomalia Natural, Anomalia Funcional, Falha</x:t>
  </x:si>
  <x:si>
    <x:t xml:space="preserve">Exposição às intempéries, atmosfera agressiva, envelhecimento dos componentes ou ausência de manutenção preventiva.</x:t>
  </x:si>
  <x:si>
    <x:t xml:space="preserve">Condutores rompidos</x:t>
  </x:si>
  <x:si>
    <x:t xml:space="preserve">Anomalia Natural, Falha, Anomalia Exógena</x:t>
  </x:si>
  <x:si>
    <x:t xml:space="preserve">Corrosão, ação de ventos, impactos mecânicos, intervenções de terceiros ou falta de manutenção.</x:t>
  </x:si>
  <x:si>
    <x:t xml:space="preserve">Ausência de componentes (captores e condutores de descida)</x:t>
  </x:si>
  <x:si>
    <x:t xml:space="preserve">Anomalia Endógena, Anomalia Exógena, Falha</x:t>
  </x:si>
  <x:si>
    <x:t xml:space="preserve">Falha de projeto, instalação inadequada, remoção durante reformas ou ausência de reposição/manutenção.</x:t>
  </x:si>
  <x:si>
    <x:t xml:space="preserve">Sistema de Prevenção e Combate a Incêndio</x:t>
  </x:si>
  <x:si>
    <x:t xml:space="preserve">Ausência de extintores</x:t>
  </x:si>
  <x:si>
    <x:t xml:space="preserve">Falta de manutenção ou adequação.</x:t>
  </x:si>
  <x:si>
    <x:t xml:space="preserve">Extintores vencidos ou obstruídos</x:t>
  </x:si>
  <x:si>
    <x:t xml:space="preserve">Ausência de inspeção periódica, manutenção inadequada ou armazenamento inadequado.</x:t>
  </x:si>
  <x:si>
    <x:t xml:space="preserve">Mangueiras de incêndio danificadas</x:t>
  </x:si>
  <x:si>
    <x:t xml:space="preserve">Desgaste pelo tempo, falta de inspeção, armazenamento inadequado ou danos mecânicos.</x:t>
  </x:si>
  <x:si>
    <x:t xml:space="preserve">Hidrantes em condições inadequadas</x:t>
  </x:si>
  <x:si>
    <x:t xml:space="preserve">Falha, Anomalia Funcional, Anomalia Endógena</x:t>
  </x:si>
  <x:si>
    <x:t xml:space="preserve">Ausência de manutenção, deterioração dos componentes ou instalação inadequada.</x:t>
  </x:si>
  <x:si>
    <x:t xml:space="preserve">Sinalização e iluminação de emergência inadequada</x:t>
  </x:si>
  <x:si>
    <x:t xml:space="preserve">Falha, Anomalia Endógena, Anomalia Funcional</x:t>
  </x:si>
  <x:si>
    <x:t xml:space="preserve">Instalação incorreta, ausência de manutenção, deterioração ou falhas no sistema elétrico.</x:t>
  </x:si>
  <x:si>
    <x:t xml:space="preserve">Rotas de fuga obstruídas</x:t>
  </x:si>
  <x:si>
    <x:t xml:space="preserve">Armazenamento inadequado de materiais ou obstruções temporárias.</x:t>
  </x:si>
  <x:si>
    <x:t xml:space="preserve">Portas corta-fogo danificadas</x:t>
  </x:si>
  <x:si>
    <x:t xml:space="preserve">Falha, Anomalia Funcional, Anomalia Exógena</x:t>
  </x:si>
  <x:si>
    <x:t xml:space="preserve">Falta de manutenção, desgaste pelo uso ou danos provocados durante intervenções.</x:t>
  </x:si>
  <x:si>
    <x:t xml:space="preserve">Ausência de corrimãos em rotas de fuga</x:t>
  </x:si>
  <x:si>
    <x:t xml:space="preserve">Anomalia Endógena, Anomalia Exógena</x:t>
  </x:si>
  <x:si>
    <x:t xml:space="preserve">Projeto inadequado, execução incompleta ou remoção durante reformas.</x:t>
  </x:si>
  <x:si>
    <x:t xml:space="preserve">Escadas de emergência inadequadas</x:t>
  </x:si>
  <x:si>
    <x:t xml:space="preserve">Projeto ou execução inadequados, alterações posteriores ou deficiência de manutenção.</x:t>
  </x:si>
  <x:si>
    <x:t xml:space="preserve">Falhas de compartimentação contra incêndio</x:t>
  </x:si>
  <x:si>
    <x:t xml:space="preserve">Falha de projeto, intervenções que comprometeram a compartimentação ou ausência de manutenção.</x:t>
  </x:si>
  <x:si>
    <x:t xml:space="preserve">Ausência de sinalização de rota de fuga</x:t>
  </x:si>
  <x:si>
    <x:t xml:space="preserve">Falha de projeto ou ausência de manutenção.</x:t>
  </x:si>
  <x:si>
    <x:t xml:space="preserve">Sistema de alarme inoperante</x:t>
  </x:si>
  <x:si>
    <x:t xml:space="preserve">Ausência de manutenção, falhas elétricas, defeitos em componentes ou fim da vida útil.</x:t>
  </x:si>
  <x:si>
    <x:t xml:space="preserve">Ausência de AVCB/CLCB válido</x:t>
  </x:si>
  <x:si>
    <x:t xml:space="preserve">Não renovação da certificação, alterações na edificação sem regularização ou não atendimento às exigências do Corpo de Bombeiros.</x:t>
  </x:si>
  <x:si>
    <x:t xml:space="preserve">Vazamentos/infiltração</x:t>
  </x:si>
  <x:si>
    <x:t xml:space="preserve">Anomalia Endógena, Anomalia Natural, Falha, Anomalia Exógena</x:t>
  </x:si>
  <x:si>
    <x:t xml:space="preserve">Falha de projeto ou execução, desgaste das tubulações, intervenções de terceiros ou ausência de manutenção.</x:t>
  </x:si>
  <x:si>
    <x:t xml:space="preserve">Desgaste dos componentes, instalação inadequada, obstruções ou ausência de manutenção.</x:t>
  </x:si>
  <x:si>
    <x:t xml:space="preserve">Dimensionamento inadequado, obstruções, desgaste da instalação ou deficiência de manutenção.</x:t>
  </x:si>
  <x:si>
    <x:t xml:space="preserve">Tubulação deteriorada</x:t>
  </x:si>
  <x:si>
    <x:t xml:space="preserve">Envelhecimento dos materiais, corrosão, ação do meio ambiente ou ausência de manutenção.</x:t>
  </x:si>
  <x:si>
    <x:t xml:space="preserve">Mau cheiro/ausência de ventilação</x:t>
  </x:si>
  <x:si>
    <x:t xml:space="preserve">Falha de projeto, ausência ou obstrução da ventilação sanitária, sifões secos ou falta de manutenção.</x:t>
  </x:si>
  <x:si>
    <x:t xml:space="preserve">Ralos sem vedação</x:t>
  </x:si>
  <x:si>
    <x:t xml:space="preserve">Instalação inadequada, ausência de fecho hídrico, retirada de componentes ou deficiência de manutenção.</x:t>
  </x:si>
  <x:si>
    <x:t xml:space="preserve">Anomalia Natural, Anomalia Exógena, Anomalia Funcional</x:t>
  </x:si>
  <x:si>
    <x:t xml:space="preserve">Ação de ventos e chuvas, impactos, intervenções de terceiros, envelhecimento dos materiais ou fixação inadequada.</x:t>
  </x:si>
  <x:si>
    <x:t xml:space="preserve">Anomalia Natural, Anomalia Endógena, Anomalia Funcional, Falha</x:t>
  </x:si>
  <x:si>
    <x:t xml:space="preserve">Chuvas, falhas de impermeabilização, deterioração dos materiais, deslocamento de telhas ou ausência de manutenção.</x:t>
  </x:si>
  <x:si>
    <x:t xml:space="preserve">Falta de manutenção.</x:t>
  </x:si>
  <x:si>
    <x:t xml:space="preserve">Anomalia Endógena, Falha, Anomalia Natural</x:t>
  </x:si>
  <x:si>
    <x:t xml:space="preserve">Declividade inadequada, dimensionamento insuficiente da drenagem, obstrução das calhas ou precipitação intensa.</x:t>
  </x:si>
  <x:si>
    <x:t xml:space="preserve">Rufos danificados</x:t>
  </x:si>
  <x:si>
    <x:t xml:space="preserve">Exposição às intempéries, envelhecimento, corrosão, instalação inadequada ou perda de vedação.</x:t>
  </x:si>
  <x:si>
    <x:t xml:space="preserve">Estrutura comprometida</x:t>
  </x:si>
  <x:si>
    <x:t xml:space="preserve">Anomalia Endógena, Anomalia Funcional, Anomalia Natural, Anomalia Exógena</x:t>
  </x:si>
  <x:si>
    <x:t xml:space="preserve">Dimensionamento inadequado, deterioração dos elementos estruturais, ataque de agentes biológicos (em estruturas de madeira), sobrecargas ou intervenções posteriores.</x:t>
  </x:si>
  <x:si>
    <x:t xml:space="preserve">Anomalia Funcional, Falha, Anomalia Endógena</x:t>
  </x:si>
  <x:si>
    <x:t xml:space="preserve">Desgaste de ferragens, deformações, desalinhamento, instalação inadequada ou ausência de manutenção.</x:t>
  </x:si>
  <x:si>
    <x:t xml:space="preserve">Instalação inadequada, deterioração de vedações, desgaste dos componentes ou ausência de manutenção.</x:t>
  </x:si>
  <x:si>
    <x:t xml:space="preserve">Deficiência de vedação, falhas de instalação, ação da chuva, deterioração dos selantes ou falta de manutenção.</x:t>
  </x:si>
  <x:si>
    <x:t xml:space="preserve">Anomalia Funcional, Anomalia Natural, Anomalia Endógena, Anomalia Exógena</x:t>
  </x:si>
  <x:si>
    <x:t xml:space="preserve">Envelhecimento dos materiais, corrosão, apodrecimento (madeira), impactos, instalação inadequada ou danos provocados por terceiros.</x:t>
  </x:si>
  <x:si>
    <x:t xml:space="preserve">Obstáculos em circulação acessível</x:t>
  </x:si>
  <x:si>
    <x:t xml:space="preserve">Falha, Anomalia Exógena</x:t>
  </x:si>
  <x:si>
    <x:t xml:space="preserve">Armazenamento inadequado de materiais, mobiliário disposto de forma irregular ou alterações posteriores no uso dos espaços.</x:t>
  </x:si>
  <x:si>
    <x:t xml:space="preserve">Uso de piso escorregadio</x:t>
  </x:si>
  <x:si>
    <x:t xml:space="preserve">Especificação inadequada do revestimento, desgaste superficial ou ausência de manutenção.</x:t>
  </x:si>
  <x:si>
    <x:t xml:space="preserve">Ausência de piso tátil</x:t>
  </x:si>
  <x:si>
    <x:t xml:space="preserve">Falha de projeto ou execução, remoção durante reformas ou desgaste.</x:t>
  </x:si>
  <x:si>
    <x:t xml:space="preserve">Sinalização inadequada</x:t>
  </x:si>
  <x:si>
    <x:t xml:space="preserve">Falha de projeto, deterioração ou ausência de manutenção.</x:t>
  </x:si>
  <x:si>
    <x:t xml:space="preserve">Largura insuficiente de circulação</x:t>
  </x:si>
  <x:si>
    <x:t xml:space="preserve">Dimensionamento inadequado em projeto ou alterações posteriores que reduziram a área de circulação.</x:t>
  </x:si>
  <x:si>
    <x:t xml:space="preserve">Ausência de vagas reservadas</x:t>
  </x:si>
  <x:si>
    <x:t xml:space="preserve">Projeto sem previsão ou alterações posteriores.</x:t>
  </x:si>
  <x:si>
    <x:t xml:space="preserve">Ausência de maçanetas do tipo alavanca</x:t>
  </x:si>
  <x:si>
    <x:t xml:space="preserve">Especificação inadequada, substituição por modelos incompatíveis ou reformas.</x:t>
  </x:si>
  <x:si>
    <x:t xml:space="preserve">Falta de rampas ou elevadores</x:t>
  </x:si>
  <x:si>
    <x:t xml:space="preserve">Falha de projeto, execução incompleta ou alterações posteriores na edificação.</x:t>
  </x:si>
  <x:si>
    <x:t xml:space="preserve">TABELAS DE APOIO — MATRIZ GUT E PRIORIDADE DE INTERVENÇÃO</x:t>
  </x:si>
  <x:si>
    <x:t xml:space="preserve">Fontes: ABNT NBR 16747:2020 (classificação de anomalias/falhas e patamares de prioridade) e Gomide et al. (2021) (Matriz GUT e categoria "anomalia natural"), conforme Quadros 3 a 6 do TCC de referência. Ver nota de atribuição ao final.</x:t>
  </x:si>
  <x:si>
    <x:t xml:space="preserve">ESCALA DE PONTUAÇÃO DA MATRIZ GUT</x:t>
  </x:si>
  <x:si>
    <x:t xml:space="preserve">Extremamente grave</x:t>
  </x:si>
  <x:si>
    <x:t xml:space="preserve">Intervenção imediata</x:t>
  </x:si>
  <x:si>
    <x:t xml:space="preserve">Agravamento imediato</x:t>
  </x:si>
  <x:si>
    <x:t xml:space="preserve">Muito grave</x:t>
  </x:si>
  <x:si>
    <x:t xml:space="preserve">Intervenção com alta urgência</x:t>
  </x:si>
  <x:si>
    <x:t xml:space="preserve">Agravamento rápido</x:t>
  </x:si>
  <x:si>
    <x:t xml:space="preserve">Grave</x:t>
  </x:si>
  <x:si>
    <x:t xml:space="preserve">Intervenção em médio prazo</x:t>
  </x:si>
  <x:si>
    <x:t xml:space="preserve">Agravamento gradual</x:t>
  </x:si>
  <x:si>
    <x:t xml:space="preserve">Pouco grave</x:t>
  </x:si>
  <x:si>
    <x:t xml:space="preserve">Pode aguardar planejamento</x:t>
  </x:si>
  <x:si>
    <x:t xml:space="preserve">Agravamento lento</x:t>
  </x:si>
  <x:si>
    <x:t xml:space="preserve">Sem gravidade significativa</x:t>
  </x:si>
  <x:si>
    <x:t xml:space="preserve">Sem urgência</x:t>
  </x:si>
  <x:si>
    <x:t xml:space="preserve">Não apresenta tendência de agravamento</x:t>
  </x:si>
  <x:si>
    <x:t xml:space="preserve">CONVERSÃO DA PONTUAÇÃO GUT EM PRIORIDADE</x:t>
  </x:si>
  <x:si>
    <x:t xml:space="preserve">Interpretação</x:t>
  </x:si>
  <x:si>
    <x:t xml:space="preserve">512 a 1000</x:t>
  </x:si>
  <x:si>
    <x:t xml:space="preserve">Prioridade 1</x:t>
  </x:si>
  <x:si>
    <x:t xml:space="preserve">Intervenção imediata, devido ao elevado potencial de risco ou agravamento.</x:t>
  </x:si>
  <x:si>
    <x:t xml:space="preserve">108 a 511</x:t>
  </x:si>
  <x:si>
    <x:t xml:space="preserve">Prioridade 2</x:t>
  </x:si>
  <x:si>
    <x:t xml:space="preserve">Intervenção em curto ou médio prazo, evitando evolução e perda de desempenho.</x:t>
  </x:si>
  <x:si>
    <x:t xml:space="preserve">1 a 107</x:t>
  </x:si>
  <x:si>
    <x:t xml:space="preserve">Prioridade 3</x:t>
  </x:si>
  <x:si>
    <x:t xml:space="preserve">Intervenção programada, associada à baixa criticidade ou caráter estético.</x:t>
  </x:si>
  <x:si>
    <x:t xml:space="preserve">CLASSIFICAÇÃO DA PRIORIDADE — NBR 16747:2020</x:t>
  </x:si>
  <x:si>
    <x:t xml:space="preserve">Irregularidades que apresentam risco à saúde e/ou segurança dos usuários, ao meio ambiente ou comprometem significativamente o desempenho da edificação, exigindo intervenção imediata.</x:t>
  </x:si>
  <x:si>
    <x:t xml:space="preserve">Irregularidades que ocasionam perda parcial de desempenho, podendo evoluir caso não sejam corrigidas, demandando intervenção em curto ou médio prazo.</x:t>
  </x:si>
  <x:si>
    <x:t xml:space="preserve">Irregularidades de baixa criticidade, predominantemente estéticas ou que demandam apenas manutenção preventiva, sem risco imediato ao desempenho da edificação.</x:t>
  </x:si>
  <x:si>
    <x:t xml:space="preserve">CLASSIFICAÇÃO QUANTO À NATUREZA E ORIGEM — NBR 16747:2020 E LITERATURA COMPLEMENTAR</x:t>
  </x:si>
  <x:si>
    <x:t xml:space="preserve">Categoria</x:t>
  </x:si>
  <x:si>
    <x:t xml:space="preserve">Definição</x:t>
  </x:si>
  <x:si>
    <x:t xml:space="preserve">Anomalia endógena (construtiva)</x:t>
  </x:si>
  <x:si>
    <x:t xml:space="preserve">Decorrente das etapas de projeto e/ou execução da edificação.</x:t>
  </x:si>
  <x:si>
    <x:t xml:space="preserve">Anomalia exógena</x:t>
  </x:si>
  <x:si>
    <x:t xml:space="preserve">Relaciona-se a fatores externos à edificação, provocados por terceiros.</x:t>
  </x:si>
  <x:si>
    <x:t xml:space="preserve">Anomalia funcional</x:t>
  </x:si>
  <x:si>
    <x:t xml:space="preserve">Relaciona-se ao envelhecimento natural dos sistemas e ao término de sua vida útil.</x:t>
  </x:si>
  <x:si>
    <x:t xml:space="preserve">Anomalia natural (não prevista na NBR 16747)</x:t>
  </x:si>
  <x:si>
    <x:t xml:space="preserve">Decorrente da degradação dos sistemas pela exposição às ações da natureza e do meio ambiente. ATENÇÃO: esta categoria NÃO consta da ABNT NBR 16747:2020, que classifica as anomalias apenas em endógena, exógena e funcional. Deriva da literatura técnica (Gomide et al.) e deve ser atribuída a essa fonte, nunca à Norma.</x:t>
  </x:si>
  <x:si>
    <x:t xml:space="preserve">Perda de desempenho decorrente do uso, operação ou manutenção (uso inadequado, operação incorreta, manutenção inadequada, falta de inspeções periódicas).</x:t>
  </x:si>
  <x:si>
    <x:t xml:space="preserve">NOTA DE ATRIBUIÇÃO — A ABNT NBR 16747:2020 (item 5.3.5) classifica as irregularidades em ANOMALIAS (endógena, exógena e funcional) e FALHAS (de uso, operação ou manutenção). A categoria "anomalia natural" e a Matriz GUT provêm da literatura técnica complementar, não da Norma. Ao citar no TCC, atribuir cada elemento à sua fonte correta.</x:t>
  </x:si>
  <x:si>
    <x:t xml:space="preserve">MODELO DE DADOS — ESPECIFICAÇÃO DAS TABELAS, CAMPOS E REGRAS</x:t>
  </x:si>
  <x:si>
    <x:t xml:space="preserve">Descrição formal da estrutura relacional desta planilha. Serve a dois propósitos: documentar no TCC como os dados de campo foram organizados e servir de especificação para gerar, depois, um aplicativo de coleta em campo. Três tabelas: duas de domínio (Obras, Catalogo) e uma tabela-fato (Lancamentos). O Painel é visão derivada, não armazena dado próprio.</x:t>
  </x:si>
  <x:si>
    <x:t xml:space="preserve">VISÃO GERAL DO MODELO</x:t>
  </x:si>
  <x:si>
    <x:t xml:space="preserve">Obras (1) ──&lt; Lancamentos &gt;── (1) Catalogo
Cada lançamento pertence a exatamente uma obra e refere-se a exatamente um item do catálogo. A combinação ID_Obra + ID_Item identifica logicamente um lançamento e não deve se repetir. Cardinalidade prevista: até 15 obras × 82 itens = 1.230 lançamentos possíveis; a planilha vem dimensionada para 500 linhas, suficiente para a amostra de 5 a 15 unidades com lançamento seletivo.</x:t>
  </x:si>
  <x:si>
    <x:t xml:space="preserve">TABELA: Obras — registro das unidades inspecionadas (até 15 linhas)</x:t>
  </x:si>
  <x:si>
    <x:t xml:space="preserve">Tabela</x:t>
  </x:si>
  <x:si>
    <x:t xml:space="preserve">Campo</x:t>
  </x:si>
  <x:si>
    <x:t xml:space="preserve">Tipo</x:t>
  </x:si>
  <x:si>
    <x:t xml:space="preserve">Chave / relação</x:t>
  </x:si>
  <x:si>
    <x:t xml:space="preserve">Preenchimento</x:t>
  </x:si>
  <x:si>
    <x:t xml:space="preserve">Domínio / validação</x:t>
  </x:si>
  <x:si>
    <x:t xml:space="preserve">Regra de cálculo</x:t>
  </x:si>
  <x:si>
    <x:t xml:space="preserve">Obras</x:t>
  </x:si>
  <x:si>
    <x:t xml:space="preserve">Texto(5)</x:t>
  </x:si>
  <x:si>
    <x:t xml:space="preserve">PK</x:t>
  </x:si>
  <x:si>
    <x:t xml:space="preserve">Fixo</x:t>
  </x:si>
  <x:si>
    <x:t xml:space="preserve">UN-01 a UN-15</x:t>
  </x:si>
  <x:si>
    <x:t xml:space="preserve">—</x:t>
  </x:si>
  <x:si>
    <x:t xml:space="preserve">Pré-preenchido e imutável. Alimenta a lista suspensa de Lancamentos.ID_Obra.</x:t>
  </x:si>
  <x:si>
    <x:t xml:space="preserve">Texto</x:t>
  </x:si>
  <x:si>
    <x:t xml:space="preserve">Usuário</x:t>
  </x:si>
  <x:si>
    <x:t xml:space="preserve">Livre</x:t>
  </x:si>
  <x:si>
    <x:t xml:space="preserve">Código da amostra ou apelido da unidade. Usado no Painel para rotular a linha.</x:t>
  </x:si>
  <x:si>
    <x:t xml:space="preserve">Localização da unidade.</x:t>
  </x:si>
  <x:si>
    <x:t xml:space="preserve">Data</x:t>
  </x:si>
  <x:si>
    <x:t xml:space="preserve">Data válida</x:t>
  </x:si>
  <x:si>
    <x:t xml:space="preserve">Início da contagem do prazo de garantia (NBR 17170, item 5). NÃO confundir com a data de protocolo.</x:t>
  </x:si>
  <x:si>
    <x:t xml:space="preserve">Determina o regime normativo aplicável. Função distinta da data do habite-se.</x:t>
  </x:si>
  <x:si>
    <x:t xml:space="preserve">Calculado</x:t>
  </x:si>
  <x:si>
    <x:t xml:space="preserve">NBR 17170:2022 | Regime anterior — Anexo D da NBR 15575</x:t>
  </x:si>
  <x:si>
    <x:t xml:space="preserve">SE protocolo &gt; 10/06/2023 ENTÃO 'NBR 17170:2022' SENÃO 'Regime anterior'. Limite = 12/12/2022 + 180 dias.</x:t>
  </x:si>
  <x:si>
    <x:t xml:space="preserve">Vazio enquanto a data de protocolo não for informada.</x:t>
  </x:si>
  <x:si>
    <x:t xml:space="preserve">Uma vistoria por unidade neste modelo. Propaga para Lancamentos.Data da vistoria.</x:t>
  </x:si>
  <x:si>
    <x:t xml:space="preserve">Decimal(0.00)</x:t>
  </x:si>
  <x:si>
    <x:t xml:space="preserve">≥ 0</x:t>
  </x:si>
  <x:si>
    <x:t xml:space="preserve">(Data da vistoria − Data do habite-se) / 365,25</x:t>
  </x:si>
  <x:si>
    <x:t xml:space="preserve">Base da comparação com o prazo de garantia de cada item.</x:t>
  </x:si>
  <x:si>
    <x:t xml:space="preserve">Manual de uso?</x:t>
  </x:si>
  <x:si>
    <x:t xml:space="preserve">Enum</x:t>
  </x:si>
  <x:si>
    <x:t xml:space="preserve">Sim | Não</x:t>
  </x:si>
  <x:si>
    <x:t xml:space="preserve">NBR 14037. Ausência é, em si, descumprimento do incorporador/construtor.</x:t>
  </x:si>
  <x:si>
    <x:t xml:space="preserve">Plano de manutenção comprovado?</x:t>
  </x:si>
  <x:si>
    <x:t xml:space="preserve">NBR 5674. Falta de comprovação pode acarretar perda da garantia (NBR 17170, item 6).</x:t>
  </x:si>
  <x:si>
    <x:t xml:space="preserve">Houve reforma?</x:t>
  </x:si>
  <x:si>
    <x:t xml:space="preserve">NBR 16280. Reformas afastam a garantia sobre os itens alterados.</x:t>
  </x:si>
  <x:si>
    <x:t xml:space="preserve">Texto longo</x:t>
  </x:si>
  <x:si>
    <x:t xml:space="preserve">Registrar o que possa ser alegado como uso em desacordo com o manual.</x:t>
  </x:si>
  <x:si>
    <x:t xml:space="preserve">OK | ATENÇÃO…</x:t>
  </x:si>
  <x:si>
    <x:t xml:space="preserve">SE data da vistoria &lt; data do habite-se ENTÃO alerta SENÃO 'OK'</x:t>
  </x:si>
  <x:si>
    <x:t xml:space="preserve">Trava de coerência entre as duas datas.</x:t>
  </x:si>
  <x:si>
    <x:t xml:space="preserve">TABELA: Catalogo — itens de verificação (82 linhas, somente leitura)</x:t>
  </x:si>
  <x:si>
    <x:t xml:space="preserve">Catalogo</x:t>
  </x:si>
  <x:si>
    <x:t xml:space="preserve">Texto(6)</x:t>
  </x:si>
  <x:si>
    <x:t xml:space="preserve">IT-001 a IT-066 | T3-01 a T3-16</x:t>
  </x:si>
  <x:si>
    <x:t xml:space="preserve">Prefixo IT = recorte de patologias até 3 anos; prefixo T3 = Tabela 3 (falhas aparentes na entrega).</x:t>
  </x:si>
  <x:si>
    <x:t xml:space="preserve">Áreas externas | Cobertura | Esquadrias | Estrutura | Fundação | Instalações elétricas | Instalações hidrossanitárias | Revestimento | Vedação (+ sistemas da Tabela 3)</x:t>
  </x:si>
  <x:si>
    <x:t xml:space="preserve">Agrupador para análise por sistema construtivo.</x:t>
  </x:si>
  <x:si>
    <x:t xml:space="preserve">Descrição da manifestação patológica a inspecionar.</x:t>
  </x:si>
  <x:si>
    <x:t xml:space="preserve">Origem esperada</x:t>
  </x:si>
  <x:si>
    <x:t xml:space="preserve">Endógena | Exógena | Funcional | Natural | Falha de uso/manutenção</x:t>
  </x:si>
  <x:si>
    <x:t xml:space="preserve">NBR 16747:2020 combinada com literatura complementar. Vazio nos itens T3.</x:t>
  </x:si>
  <x:si>
    <x:t xml:space="preserve">Causas prováveis</x:t>
  </x:si>
  <x:si>
    <x:t xml:space="preserve">Hipóteses de causa em idade precoce. Nos itens T3, traz os tipos de falha aparente da Tabela 3.</x:t>
  </x:si>
  <x:si>
    <x:t xml:space="preserve">Apêndice B | Acrescentado | NBR 17170 — Tabela 3</x:t>
  </x:si>
  <x:si>
    <x:t xml:space="preserve">Rastreia a origem do item no processo de montagem do checklist.</x:t>
  </x:si>
  <x:si>
    <x:t xml:space="preserve">Tipo de falha (NBR 17170)</x:t>
  </x:si>
  <x:si>
    <x:t xml:space="preserve">Enquadramento sugerido. Conferido linha a linha contra o texto oficial — não alterar.</x:t>
  </x:si>
  <x:si>
    <x:t xml:space="preserve">Inteiro</x:t>
  </x:si>
  <x:si>
    <x:t xml:space="preserve">1 | 3 | 5 | vazio</x:t>
  </x:si>
  <x:si>
    <x:t xml:space="preserve">Vazio = item sem prazo tipificado em anos (Tabela 3, manutenção do usuário ou não tipificado).</x:t>
  </x:si>
  <x:si>
    <x:t xml:space="preserve">Justificativa técnica do enquadramento. Conferida contra a norma — não alterar.</x:t>
  </x:si>
  <x:si>
    <x:t xml:space="preserve">TABELA: Lancamentos — tabela-fato obra × item (500 linhas pré-formatadas)</x:t>
  </x:si>
  <x:si>
    <x:t xml:space="preserve">Lancamentos</x:t>
  </x:si>
  <x:si>
    <x:t xml:space="preserve">Texto(7)</x:t>
  </x:si>
  <x:si>
    <x:t xml:space="preserve">LC-0001 a LC-0500</x:t>
  </x:si>
  <x:si>
    <x:t xml:space="preserve">SE ID_Obra e ID_Item preenchidos ENTÃO 'LC-' + número sequencial da linha</x:t>
  </x:si>
  <x:si>
    <x:t xml:space="preserve">Vazio em linha não utilizada.</x:t>
  </x:si>
  <x:si>
    <x:t xml:space="preserve">FK → Obras.ID_Obra</x:t>
  </x:si>
  <x:si>
    <x:t xml:space="preserve">Lista suspensa (nome definido ListaObras)</x:t>
  </x:si>
  <x:si>
    <x:t xml:space="preserve">Obrigatório. Sem ele nenhuma coluna calculada da linha resolve.</x:t>
  </x:si>
  <x:si>
    <x:t xml:space="preserve">FK → Catalogo.ID_Item</x:t>
  </x:si>
  <x:si>
    <x:t xml:space="preserve">Lista suspensa (nome definido ListaItens)</x:t>
  </x:si>
  <x:si>
    <x:t xml:space="preserve">Obrigatório. Define o prazo de garantia aplicável.</x:t>
  </x:si>
  <x:si>
    <x:t xml:space="preserve">Herdada de Obras</x:t>
  </x:si>
  <x:si>
    <x:t xml:space="preserve">ÍNDICE/CORRESP sobre Obras.Data da vistoria usando ID_Obra</x:t>
  </x:si>
  <x:si>
    <x:t xml:space="preserve">Herdada para garantir fonte única da verdade. Um lançamento por vistoria de unidade.</x:t>
  </x:si>
  <x:si>
    <x:t xml:space="preserve">Todos os totais do Painel filtram por Ocorrência = Sim.</x:t>
  </x:si>
  <x:si>
    <x:t xml:space="preserve">Obrigatório na prática quando Ocorrência = Sim.</x:t>
  </x:si>
  <x:si>
    <x:t xml:space="preserve">G / U / T</x:t>
  </x:si>
  <x:si>
    <x:t xml:space="preserve">10 | 8 | 6 | 3 | 1</x:t>
  </x:si>
  <x:si>
    <x:t xml:space="preserve">Matriz GUT. Escala descrita na aba 'Tabelas de apoio'.</x:t>
  </x:si>
  <x:si>
    <x:t xml:space="preserve">1 a 1000</x:t>
  </x:si>
  <x:si>
    <x:t xml:space="preserve">SE G, U e T preenchidos ENTÃO G × U × T SENÃO vazio</x:t>
  </x:si>
  <x:si>
    <x:t xml:space="preserve">Prioridade 1 | Prioridade 2 | Prioridade 3</x:t>
  </x:si>
  <x:si>
    <x:t xml:space="preserve">≥ 512 → Prioridade 1; ≥ 108 → Prioridade 2; senão Prioridade 3</x:t>
  </x:si>
  <x:si>
    <x:t xml:space="preserve">Classificação conforme NBR 16747:2020 + Matriz GUT.</x:t>
  </x:si>
  <x:si>
    <x:t xml:space="preserve">ÍNDICE/CORRESP sobre Catalogo.Prazo usando ID_Item</x:t>
  </x:si>
  <x:si>
    <x:t xml:space="preserve">VENCIDA | VENCE EM ATÉ 6 MESES | VIGENTE | vazio</x:t>
  </x:si>
  <x:si>
    <x:t xml:space="preserve">Seja I = Obras.Idade da obra e P = Prazo do item. SE I &gt; P → VENCIDA; SENÃO SE P − I ≤ 0,5 → VENCE EM ATÉ 6 MESES; SENÃO VIGENTE.</x:t>
  </x:si>
  <x:si>
    <x:t xml:space="preserve">Vazio quando o item não tem prazo tipificado em anos.</x:t>
  </x:si>
  <x:si>
    <x:t xml:space="preserve">Registro fotográfico, medições, ressalvas do inspetor.</x:t>
  </x:si>
  <x:si>
    <x:t xml:space="preserve">VISÃO DERIVADA: Painel — não armazena dado próprio</x:t>
  </x:si>
  <x:si>
    <x:t xml:space="preserve">Bloco</x:t>
  </x:si>
  <x:si>
    <x:t xml:space="preserve">Conteúdo</x:t>
  </x:si>
  <x:si>
    <x:t xml:space="preserve">Granularidade</x:t>
  </x:si>
  <x:si>
    <x:t xml:space="preserve">Origem</x:t>
  </x:si>
  <x:si>
    <x:t xml:space="preserve">Regra</x:t>
  </x:si>
  <x:si>
    <x:t xml:space="preserve">Bloco 1</x:t>
  </x:si>
  <x:si>
    <x:t xml:space="preserve">Resultados por unidade</x:t>
  </x:si>
  <x:si>
    <x:t xml:space="preserve">1 linha por obra</x:t>
  </x:si>
  <x:si>
    <x:t xml:space="preserve">Lancamentos + Obras</x:t>
  </x:si>
  <x:si>
    <x:t xml:space="preserve">CONT.SES sobre ID_Obra com Ocorrência = Sim</x:t>
  </x:si>
  <x:si>
    <x:t xml:space="preserve">Ocorrências, distribuição por prioridade e por situação de garantia.</x:t>
  </x:si>
  <x:si>
    <x:t xml:space="preserve">Bloco 2</x:t>
  </x:si>
  <x:si>
    <x:t xml:space="preserve">Consolidado da amostra</x:t>
  </x:si>
  <x:si>
    <x:t xml:space="preserve">Agregado total</x:t>
  </x:si>
  <x:si>
    <x:t xml:space="preserve">CONT.SE / CONT.SES sobre toda a tabela-fato</x:t>
  </x:si>
  <x:si>
    <x:t xml:space="preserve">Somatório das 5 ou mais unidades inspecionadas.</x:t>
  </x:si>
  <x:si>
    <x:t xml:space="preserve">Bloco 3</x:t>
  </x:si>
  <x:si>
    <x:t xml:space="preserve">Indicador central da pesquisa</x:t>
  </x:si>
  <x:si>
    <x:t xml:space="preserve">CONT.SES(Ocorrência=Sim; Prioridade=Prioridade 1; Situação=VENCIDA)</x:t>
  </x:si>
  <x:si>
    <x:t xml:space="preserve">Quantidade e percentual de ocorrências de Prioridade 1 já fora de garantia na vistoria.</x:t>
  </x:si>
  <x:si>
    <x:t xml:space="preserve">Bloco 4</x:t>
  </x:si>
  <x:si>
    <x:t xml:space="preserve">Unidades por regime normativo</x:t>
  </x:si>
  <x:si>
    <x:t xml:space="preserve">1 linha por regime</x:t>
  </x:si>
  <x:si>
    <x:t xml:space="preserve">CONT.SE sobre Obras.Regime normativo</x:t>
  </x:si>
  <x:si>
    <x:t xml:space="preserve">Divisor: 10/06/2023 (12/12/2022 + 180 dias).</x:t>
  </x:si>
  <x:si>
    <x:t xml:space="preserve">REGRAS DE NEGÓCIO CONSOLIDADAS</x:t>
  </x:si>
  <x:si>
    <x:t xml:space="preserve">Nº</x:t>
  </x:si>
  <x:si>
    <x:t xml:space="preserve">Aplica-se a</x:t>
  </x:si>
  <x:si>
    <x:t xml:space="preserve">Expressão</x:t>
  </x:si>
  <x:si>
    <x:t xml:space="preserve">Fonte</x:t>
  </x:si>
  <x:si>
    <x:t xml:space="preserve">R1</x:t>
  </x:si>
  <x:si>
    <x:t xml:space="preserve">Idade da unidade na vistoria</x:t>
  </x:si>
  <x:si>
    <x:t xml:space="preserve">Cálculo</x:t>
  </x:si>
  <x:si>
    <x:t xml:space="preserve">(vistoria − habite-se) / 365,25</x:t>
  </x:si>
  <x:si>
    <x:t xml:space="preserve">NBR 17170:2022, item 5</x:t>
  </x:si>
  <x:si>
    <x:t xml:space="preserve">R2</x:t>
  </x:si>
  <x:si>
    <x:t xml:space="preserve">protocolo &gt; 12/12/2022 + 180d → NBR 17170:2022</x:t>
  </x:si>
  <x:si>
    <x:t xml:space="preserve">NBR 17170:2022</x:t>
  </x:si>
  <x:si>
    <x:t xml:space="preserve">R3</x:t>
  </x:si>
  <x:si>
    <x:t xml:space="preserve">G × U × T</x:t>
  </x:si>
  <x:si>
    <x:t xml:space="preserve">Gomide et al. (2021)</x:t>
  </x:si>
  <x:si>
    <x:t xml:space="preserve">R4</x:t>
  </x:si>
  <x:si>
    <x:t xml:space="preserve">Conversão GUT em prioridade</x:t>
  </x:si>
  <x:si>
    <x:t xml:space="preserve">≥512 → P1; ≥108 → P2; senão P3</x:t>
  </x:si>
  <x:si>
    <x:t xml:space="preserve">NBR 16747:2020 + Matriz GUT</x:t>
  </x:si>
  <x:si>
    <x:t xml:space="preserve">R5</x:t>
  </x:si>
  <x:si>
    <x:t xml:space="preserve">idade &gt; prazo → VENCIDA; prazo − idade ≤ 0,5 → VENCE EM ATÉ 6 MESES; senão VIGENTE</x:t>
  </x:si>
  <x:si>
    <x:t xml:space="preserve">NBR 17170:2022, Tabelas 1 e 2</x:t>
  </x:si>
  <x:si>
    <x:t xml:space="preserve">R6</x:t>
  </x:si>
  <x:si>
    <x:t xml:space="preserve">Itens sem prazo em anos</x:t>
  </x:si>
  <x:si>
    <x:t xml:space="preserve">Restrição</x:t>
  </x:si>
  <x:si>
    <x:t xml:space="preserve">Prazo vazio → Situação da garantia vazia</x:t>
  </x:si>
  <x:si>
    <x:t xml:space="preserve">NBR 17170:2022, item 9.4 e Tabela 3</x:t>
  </x:si>
  <x:si>
    <x:t xml:space="preserve">R7</x:t>
  </x:si>
  <x:si>
    <x:t xml:space="preserve">Unicidade lógica do lançamento</x:t>
  </x:si>
  <x:si>
    <x:t xml:space="preserve">Integridade</x:t>
  </x:si>
  <x:si>
    <x:t xml:space="preserve">ID_Obra + ID_Item não deve se repetir</x:t>
  </x:si>
  <x:si>
    <x:t xml:space="preserve">Decisão de modelagem — não é imposta por fórmula na planilha</x:t>
  </x:si>
  <x:si>
    <x:t xml:space="preserve">R8</x:t>
  </x:si>
  <x:si>
    <x:t xml:space="preserve">Coerência entre datas</x:t>
  </x:si>
  <x:si>
    <x:t xml:space="preserve">vistoria ≥ habite-se</x:t>
  </x:si>
  <x:si>
    <x:t xml:space="preserve">Decisão de modelagem</x:t>
  </x:si>
  <x:si>
    <x:t xml:space="preserve">NOMES DEFINIDOS E INTERVALOS</x:t>
  </x:si>
  <x:si>
    <x:t xml:space="preserve">Nome</x:t>
  </x:si>
  <x:si>
    <x:t xml:space="preserve">Referência</x:t>
  </x:si>
  <x:si>
    <x:t xml:space="preserve">Uso</x:t>
  </x:si>
  <x:si>
    <x:t xml:space="preserve">ListaObras</x:t>
  </x:si>
  <x:si>
    <x:t xml:space="preserve">Obras!$A$5:$A$19</x:t>
  </x:si>
  <x:si>
    <x:t xml:space="preserve">Lista suspensa de Lancamentos.ID_Obra</x:t>
  </x:si>
  <x:si>
    <x:t xml:space="preserve">Ampliar o intervalo se passar de 15 unidades.</x:t>
  </x:si>
  <x:si>
    <x:t xml:space="preserve">ListaItens</x:t>
  </x:si>
  <x:si>
    <x:t xml:space="preserve">Catalogo!$A$5:$A$86</x:t>
  </x:si>
  <x:si>
    <x:t xml:space="preserve">Lista suspensa de Lancamentos.ID_Item</x:t>
  </x:si>
  <x:si>
    <x:t xml:space="preserve">82 itens: 66 do recorte + 16 da Tabela 3.</x:t>
  </x:si>
  <x:si>
    <x:t xml:space="preserve">Lancamentos!$A$5:$N$504</x:t>
  </x:si>
  <x:si>
    <x:t xml:space="preserve">Faixa útil da tabela-fato</x:t>
  </x:si>
  <x:si>
    <x:t xml:space="preserve">Para ampliar, copiar a última linha para baixo e estender os intervalos do Painel.</x:t>
  </x:si>
  <x:si>
    <x:t xml:space="preserve">NOTA SOBRE COMPATIBILIDADE</x:t>
  </x:si>
  <x:si>
    <x:t xml:space="preserve">Todas as fórmulas usam apenas SE, E/OU, ÍNDICE, CORRESP, CONT.SE, CONT.SES, CONT.VALORES, CONT.NÚM, MÁXIMO, SEERRO, TEXTO e DATA. Não há funções de matriz dinâmica (PROCX, FILTRO, ORDENAR, ÚNICO, SEQUÊNCIA) nem SES, o que mantém o arquivo compatível com versões mais antigas do Excel, com o LibreOffice Calc e com o Planilhas Google.</x:t>
  </x:si>
</x:sst>
</file>

<file path=xl/styles.xml><?xml version="1.0" encoding="utf-8"?>
<x:styleSheet xmlns:x="http://schemas.openxmlformats.org/spreadsheetml/2006/main">
  <x:numFmts count="3">
    <x:numFmt numFmtId="164" formatCode="0.0%"/>
    <x:numFmt numFmtId="200" formatCode="dd/mm/yyyy"/>
    <x:numFmt numFmtId="201" formatCode="0.00"/>
  </x:numFmts>
  <x:fonts count="38">
    <x:font>
      <x:sz val="11"/>
      <x:color theme="1"/>
      <x:name val="Calibri"/>
    </x:font>
    <x:font>
      <x:b/>
      <x:sz val="13"/>
      <x:color rgb="FF385723"/>
      <x:name val="Arial"/>
    </x:font>
    <x:font>
      <x:i/>
      <x:sz val="9"/>
      <x:name val="Arial"/>
    </x:font>
    <x:font>
      <x:sz val="9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3"/>
      <x:color rgb="FFFFFFFF"/>
      <x:name val="Arial"/>
    </x:font>
    <x:font>
      <x:b/>
      <x:sz val="11"/>
      <x:color rgb="FF385723"/>
      <x:name val="Arial"/>
    </x:font>
    <x:font>
      <x:b/>
      <x:sz val="13"/>
      <x:color rgb="FF1F3864"/>
      <x:name val="Arial"/>
    </x:font>
    <x:font>
      <x:i/>
      <x:sz val="10"/>
      <x:color rgb="FF808080"/>
      <x:name val="Arial"/>
    </x:font>
    <x:font>
      <x:b/>
      <x:sz val="12"/>
      <x:color rgb="FF1F3864"/>
      <x:name val="Arial"/>
    </x:font>
    <x:font>
      <x:b/>
      <x:sz val="11"/>
      <x:color rgb="FF1F3864"/>
      <x:name val="Arial"/>
    </x:font>
    <x:font>
      <x:b/>
      <x:sz val="13"/>
      <x:color rgb="FF385723"/>
      <x:name val="Arial"/>
    </x:font>
    <x:font>
      <x:i/>
      <x:sz val="9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sz val="10"/>
      <x:color rgb="FF404040"/>
      <x:name val="Arial"/>
    </x:font>
    <x:font>
      <x:b/>
      <x:sz val="11"/>
      <x:name val="Arial"/>
    </x:font>
    <x:font>
      <x:b/>
      <x:sz val="18"/>
      <x:color rgb="FFFFFFFF"/>
      <x:name val="Calibri"/>
    </x:font>
    <x:font>
      <x:i/>
      <x:sz val="10"/>
      <x:color rgb="FF17324D"/>
      <x:name val="Calibri"/>
    </x:font>
    <x:font>
      <x:sz val="10"/>
      <x:color rgb="FF263238"/>
      <x:name val="Calibri"/>
    </x:font>
    <x:font>
      <x:b/>
      <x:sz val="10"/>
      <x:color rgb="FF17324D"/>
      <x:name val="Calibri"/>
    </x:font>
    <x:font>
      <x:b/>
      <x:sz val="11"/>
      <x:color rgb="FFFFFFFF"/>
      <x:name val="Calibri"/>
    </x:font>
    <x:font>
      <x:b/>
      <x:sz val="14"/>
      <x:color rgb="FFFFFFFF"/>
      <x:name val="Arial"/>
    </x:font>
    <x:font>
      <x:b/>
      <x:sz val="14"/>
      <x:color rgb="FFFFFFFF"/>
      <x:name val="Calibri"/>
    </x:font>
    <x:font>
      <x:i/>
      <x:sz val="9"/>
      <x:color rgb="FF17324D"/>
      <x:name val="Arial"/>
    </x:font>
    <x:font>
      <x:i/>
      <x:sz val="9"/>
      <x:color rgb="FF17324D"/>
      <x:name val="Calibri"/>
    </x:font>
    <x:font>
      <x:b/>
      <x:sz val="9"/>
      <x:color rgb="FFFFFFFF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10"/>
      <x:color rgb="FF4A3A00"/>
      <x:name val="Arial"/>
    </x:font>
    <x:font>
      <x:sz val="11"/>
      <x:color rgb="FF4A3A00"/>
      <x:name val="Calibri"/>
    </x:font>
    <x:font>
      <x:sz val="11"/>
      <x:color rgb="FF4A3A00"/>
      <x:name val="Arial"/>
    </x:font>
    <x:font>
      <x:b/>
      <x:sz val="9"/>
      <x:color rgb="FFFFFFFF"/>
      <x:name val="Calibri"/>
    </x:font>
    <x:font>
      <x:b/>
      <x:i/>
      <x:sz val="9"/>
      <x:color rgb="FFFFFFFF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FF385723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  <x:fill>
      <x:patternFill patternType="solid">
        <x:fgColor rgb="FFFFE699"/>
      </x:patternFill>
    </x:fill>
    <x:fill>
      <x:patternFill patternType="solid">
        <x:fgColor rgb="FFF8CBAD"/>
      </x:patternFill>
    </x:fill>
    <x:fill>
      <x:patternFill patternType="solid">
        <x:fgColor rgb="FFD9D9D9"/>
      </x:patternFill>
    </x:fill>
    <x:fill>
      <x:patternFill patternType="solid">
        <x:fgColor rgb="FF1F3864"/>
      </x:patternFill>
    </x:fill>
    <x:fill>
      <x:patternFill patternType="solid">
        <x:fgColor rgb="FF2E5E8E"/>
      </x:patternFill>
    </x:fill>
    <x:fill>
      <x:patternFill patternType="solid">
        <x:fgColor rgb="FFD9E2F3"/>
      </x:patternFill>
    </x:fill>
    <x:fill>
      <x:patternFill patternType="solid">
        <x:fgColor rgb="FF385723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9"/>
      </x:patternFill>
    </x:fill>
    <x:fill>
      <x:patternFill patternType="solid">
        <x:fgColor rgb="FF2F75B5"/>
      </x:patternFill>
    </x:fill>
    <x:fill>
      <x:patternFill patternType="solid">
        <x:fgColor rgb="FFFFF3CD"/>
      </x:patternFill>
    </x:fill>
    <x:fill>
      <x:patternFill patternType="solid">
        <x:fgColor rgb="FFE8F5EE"/>
      </x:patternFill>
    </x:fill>
    <x:fill>
      <x:patternFill patternType="solid">
        <x:fgColor rgb="FFFCE8E8"/>
      </x:patternFill>
    </x:fill>
  </x:fills>
  <x:borders count="35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808080"/>
      </x:left>
      <x:right style="thin">
        <x:color rgb="FF808080"/>
      </x:right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808080"/>
      </x:left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bottom style="thin">
        <x:color rgb="FF808080"/>
      </x:bottom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right style="thin">
        <x:color rgb="FF808080"/>
      </x:right>
      <x:top style="thin">
        <x:color rgb="FF808080"/>
      </x:top>
    </x:border>
    <x:border>
      <x:left style="thin">
        <x:color rgb="FF808080"/>
      </x:left>
      <x:top style="thin">
        <x:color rgb="FF808080"/>
      </x:top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bottom style="thin">
        <x:color rgb="FF808080"/>
      </x:bottom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right style="thin">
        <x:color rgb="FF808080"/>
      </x:right>
      <x:top style="thin">
        <x:color rgb="FF808080"/>
      </x:top>
    </x:border>
    <x:border>
      <x:left style="thin">
        <x:color rgb="FF808080"/>
      </x:left>
      <x:top style="thin">
        <x:color rgb="FF808080"/>
      </x:top>
    </x:border>
    <x:border>
      <x:left style="thin">
        <x:color rgb="FF808080"/>
      </x:left>
    </x:border>
    <x:border>
      <x:right style="thin">
        <x:color rgb="FF808080"/>
      </x:right>
    </x:border>
    <x:border>
      <x:bottom style="thin">
        <x:color rgb="FF808080"/>
      </x:bottom>
    </x:border>
    <x:border>
      <x:left style="thin">
        <x:color rgb="FF808080"/>
      </x:left>
    </x:border>
    <x:border>
      <x:right style="thin">
        <x:color rgb="FF808080"/>
      </x:right>
    </x:border>
    <x:border>
      <x:bottom style="thin">
        <x:color rgb="FF808080"/>
      </x:bottom>
    </x:border>
  </x:borders>
  <x:cellStyleXfs count="1">
    <x:xf numFmtId="0" fontId="0" fillId="0" borderId="0"/>
  </x:cellStyleXfs>
  <x:cellXfs count="479">
    <x:xf numFmtId="0" fontId="0" fillId="0" borderId="0" xfId="0"/>
    <x:xf numFmtId="0" fontId="6" fillId="0" borderId="1" xfId="0" applyFont="1" applyBorder="1" applyAlignment="1">
      <x:alignment horizontal="left" vertical="top" wrapText="1"/>
    </x:xf>
    <x:xf numFmtId="0" fontId="6" fillId="0" borderId="1" xfId="0" applyFont="1" applyBorder="1" applyAlignment="1">
      <x:alignment horizontal="center" vertical="top" wrapText="1"/>
    </x:xf>
    <x:xf numFmtId="0" fontId="6" fillId="4" borderId="1" xfId="0" applyFont="1" applyFill="1" applyBorder="1" applyAlignment="1">
      <x:alignment horizontal="center" vertical="top" wrapText="1"/>
    </x:xf>
    <x:xf numFmtId="0" fontId="6" fillId="4" borderId="1" xfId="0" applyFont="1" applyFill="1" applyBorder="1" applyAlignment="1">
      <x:alignment horizontal="left" vertical="top" wrapText="1"/>
    </x:xf>
    <x:xf numFmtId="0" fontId="2" fillId="0" borderId="0" xfId="0" applyFont="1"/>
    <x:xf numFmtId="0" fontId="4" fillId="2" borderId="2" xfId="0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/>
    </x:xf>
    <x:xf numFmtId="0" fontId="3" fillId="0" borderId="2" xfId="0" applyFont="1" applyBorder="1" applyAlignment="1">
      <x:alignment vertical="top" wrapText="1"/>
    </x:xf>
    <x:xf numFmtId="0" fontId="5" fillId="6" borderId="2" xfId="0" applyFont="1" applyFill="1" applyBorder="1" applyAlignment="1">
      <x:alignment horizontal="center" vertical="center"/>
    </x:xf>
    <x:xf numFmtId="0" fontId="5" fillId="7" borderId="2" xfId="0" applyFont="1" applyFill="1" applyBorder="1" applyAlignment="1">
      <x:alignment horizontal="center" vertical="center"/>
    </x:xf>
    <x:xf numFmtId="0" fontId="5" fillId="8" borderId="2" xfId="0" applyFont="1" applyFill="1" applyBorder="1" applyAlignment="1">
      <x:alignment horizontal="center" vertical="center"/>
    </x:xf>
    <x:xf numFmtId="0" fontId="4" fillId="2" borderId="3" xfId="0" applyFont="1" applyFill="1" applyBorder="1" applyAlignment="1">
      <x:alignment horizontal="center" vertical="center" wrapText="1"/>
    </x:xf>
    <x:xf numFmtId="0" fontId="5" fillId="3" borderId="3" xfId="0" applyFont="1" applyFill="1" applyBorder="1" applyAlignment="1">
      <x:alignment horizontal="left" vertical="center" wrapText="1"/>
    </x:xf>
    <x:xf numFmtId="0" fontId="6" fillId="0" borderId="3" xfId="0" applyFont="1" applyBorder="1" applyAlignment="1">
      <x:alignment horizontal="left" vertical="center" wrapText="1"/>
    </x:xf>
    <x:xf numFmtId="0" fontId="6" fillId="0" borderId="3" xfId="0" applyFont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left" vertical="center" wrapText="1"/>
    </x:xf>
    <x:xf numFmtId="0" fontId="8" fillId="0" borderId="0" xfId="0" applyFont="1" applyAlignment="1">
      <x:alignment horizontal="left" vertical="center" wrapText="1"/>
    </x:xf>
    <x:xf numFmtId="0" fontId="6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4" fillId="9" borderId="1" xfId="0" applyFont="1" applyFill="1" applyBorder="1" applyAlignment="1">
      <x:alignment horizontal="center" vertical="center" wrapText="1"/>
    </x:xf>
    <x:xf numFmtId="0" fontId="10" fillId="0" borderId="1" xfId="0" applyFont="1" applyBorder="1" applyAlignment="1">
      <x:alignment vertical="top" wrapText="1"/>
    </x:xf>
    <x:xf numFmtId="0" fontId="5" fillId="11" borderId="1" xfId="0" applyFont="1" applyFill="1" applyBorder="1" applyAlignment="1">
      <x:alignment horizontal="left" vertical="top" wrapText="1"/>
    </x:xf>
    <x:xf numFmtId="0" fontId="6" fillId="11" borderId="1" xfId="0" applyFont="1" applyFill="1" applyBorder="1" applyAlignment="1">
      <x:alignment horizontal="left" vertical="top" wrapText="1"/>
    </x:xf>
    <x:xf numFmtId="0" fontId="11" fillId="0" borderId="0" xfId="0" applyFont="1"/>
    <x:xf numFmtId="0" fontId="12" fillId="0" borderId="0" xfId="0" applyFont="1"/>
    <x:xf numFmtId="0" fontId="6" fillId="0" borderId="1" xfId="0" applyFont="1" applyBorder="1" applyAlignment="1">
      <x:alignment vertical="top" wrapText="1"/>
    </x:xf>
    <x:xf numFmtId="0" fontId="15" fillId="12" borderId="8" xfId="0" applyFont="1" applyFill="1" applyBorder="1" applyAlignment="1">
      <x:alignment horizontal="center" vertical="center" wrapText="1"/>
    </x:xf>
    <x:xf numFmtId="0" fontId="16" fillId="13" borderId="8" xfId="0" applyFont="1" applyFill="1" applyBorder="1" applyAlignment="1">
      <x:alignment horizontal="center" vertical="center" wrapText="1"/>
    </x:xf>
    <x:xf numFmtId="0" fontId="17" fillId="14" borderId="8" xfId="0" applyFont="1" applyFill="1" applyBorder="1" applyAlignment="1">
      <x:alignment horizontal="left" vertical="top" wrapText="1"/>
    </x:xf>
    <x:xf numFmtId="14" fontId="17" fillId="14" borderId="8" xfId="0" applyNumberFormat="1" applyFont="1" applyFill="1" applyBorder="1" applyAlignment="1">
      <x:alignment horizontal="center" vertical="center" wrapText="1"/>
    </x:xf>
    <x:xf numFmtId="0" fontId="18" fillId="0" borderId="8" xfId="0" applyFont="1" applyBorder="1" applyAlignment="1">
      <x:alignment horizontal="left" vertical="top" wrapText="1"/>
    </x:xf>
    <x:xf numFmtId="2" fontId="18" fillId="0" borderId="8" xfId="0" applyNumberFormat="1" applyFont="1" applyBorder="1" applyAlignment="1">
      <x:alignment horizontal="center" vertical="center" wrapText="1"/>
    </x:xf>
    <x:xf numFmtId="0" fontId="17" fillId="14" borderId="8" xfId="0" applyFont="1" applyFill="1" applyBorder="1" applyAlignment="1">
      <x:alignment horizontal="center" vertical="center" wrapText="1"/>
    </x:xf>
    <x:xf numFmtId="0" fontId="16" fillId="13" borderId="8" xfId="0" applyFont="1" applyFill="1" applyBorder="1" applyAlignment="1">
      <x:alignment horizontal="left" vertical="top" wrapText="1"/>
    </x:xf>
    <x:xf numFmtId="0" fontId="17" fillId="0" borderId="8" xfId="0" applyFont="1" applyBorder="1" applyAlignment="1">
      <x:alignment horizontal="left" vertical="top" wrapText="1"/>
    </x:xf>
    <x:xf numFmtId="0" fontId="18" fillId="0" borderId="8" xfId="0" applyFont="1" applyBorder="1" applyAlignment="1">
      <x:alignment horizontal="center" vertical="center" wrapText="1"/>
    </x:xf>
    <x:xf numFmtId="1" fontId="16" fillId="13" borderId="8" xfId="0" applyNumberFormat="1" applyFont="1" applyFill="1" applyBorder="1" applyAlignment="1">
      <x:alignment horizontal="center" vertical="center" wrapText="1"/>
    </x:xf>
    <x:xf numFmtId="14" fontId="18" fillId="0" borderId="8" xfId="0" applyNumberFormat="1" applyFont="1" applyBorder="1" applyAlignment="1">
      <x:alignment horizontal="center" vertical="center" wrapText="1"/>
    </x:xf>
    <x:xf numFmtId="1" fontId="18" fillId="0" borderId="8" xfId="0" applyNumberFormat="1" applyFont="1" applyBorder="1" applyAlignment="1">
      <x:alignment horizontal="center" vertical="center" wrapText="1"/>
    </x:xf>
    <x:xf numFmtId="164" fontId="18" fillId="0" borderId="8" xfId="0" applyNumberFormat="1" applyFont="1" applyBorder="1" applyAlignment="1">
      <x:alignment horizontal="center" vertical="center" wrapText="1"/>
    </x:xf>
    <x:xf numFmtId="1" fontId="19" fillId="0" borderId="8" xfId="0" applyNumberFormat="1" applyFont="1" applyBorder="1" applyAlignment="1">
      <x:alignment horizontal="center" vertical="center" wrapText="1"/>
    </x:xf>
    <x:xf numFmtId="0" fontId="14" fillId="0" borderId="0" xfId="0" applyFont="1" applyAlignment="1">
      <x:alignment horizontal="left" vertical="center" wrapText="1"/>
    </x:xf>
    <x:xf numFmtId="0" fontId="0" fillId="0" borderId="0" xfId="0"/>
    <x:xf numFmtId="0" fontId="13" fillId="0" borderId="0" xfId="0" applyFont="1" applyAlignment="1">
      <x:alignment horizontal="left" vertical="center" wrapText="1"/>
    </x:xf>
    <x:xf numFmtId="0" fontId="18" fillId="0" borderId="8" xfId="0" applyFont="1" applyBorder="1" applyAlignment="1">
      <x:alignment horizontal="left" vertical="top" wrapText="1"/>
    </x:xf>
    <x:xf numFmtId="0" fontId="0" fillId="0" borderId="5" xfId="0" applyBorder="1"/>
    <x:xf numFmtId="0" fontId="0" fillId="0" borderId="6" xfId="0" applyBorder="1"/>
    <x:xf numFmtId="0" fontId="16" fillId="13" borderId="8" xfId="0" applyFont="1" applyFill="1" applyBorder="1" applyAlignment="1">
      <x:alignment horizontal="left" vertical="top" wrapText="1"/>
    </x:xf>
    <x:xf numFmtId="0" fontId="15" fillId="12" borderId="0" xfId="0" applyFont="1" applyFill="1" applyAlignment="1">
      <x:alignment horizontal="left" vertical="center" wrapText="1"/>
    </x:xf>
    <x:xf numFmtId="0" fontId="15" fillId="12" borderId="8" xfId="0" applyFont="1" applyFill="1" applyBorder="1" applyAlignment="1">
      <x:alignment horizontal="center" vertical="center" wrapText="1"/>
    </x:xf>
    <x:xf numFmtId="0" fontId="7" fillId="2" borderId="0" xfId="0" applyFont="1" applyFill="1"/>
    <x:xf numFmtId="0" fontId="2" fillId="0" borderId="0" xfId="0" applyFont="1" applyAlignment="1">
      <x:alignment vertical="top" wrapText="1"/>
    </x:xf>
    <x:xf numFmtId="0" fontId="6" fillId="4" borderId="3" xfId="0" applyFont="1" applyFill="1" applyBorder="1" applyAlignment="1">
      <x:alignment horizontal="left" vertical="center" wrapText="1"/>
    </x:xf>
    <x:xf numFmtId="0" fontId="0" fillId="0" borderId="7" xfId="0" applyBorder="1"/>
    <x:xf numFmtId="0" fontId="6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4" fillId="9" borderId="1" xfId="0" applyFont="1" applyFill="1" applyBorder="1" applyAlignment="1">
      <x:alignment horizontal="center" vertical="center" wrapText="1"/>
    </x:xf>
    <x:xf numFmtId="0" fontId="0" fillId="0" borderId="4" xfId="0" applyBorder="1"/>
    <x:xf numFmtId="0" fontId="2" fillId="0" borderId="0" xfId="0" applyFont="1"/>
    <x:xf numFmtId="0" fontId="9" fillId="0" borderId="0" xfId="0" applyFont="1"/>
    <x:xf numFmtId="0" fontId="3" fillId="0" borderId="0" xfId="0" applyFont="1" applyAlignment="1">
      <x:alignment vertical="center" wrapText="1"/>
    </x:xf>
    <x:xf numFmtId="0" fontId="4" fillId="10" borderId="1" xfId="0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6" fillId="0" borderId="10" xfId="0" applyNumberFormat="1" applyFont="1" applyFill="1" applyBorder="1" applyAlignment="1">
      <x:alignment horizontal="left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4" borderId="10" xfId="0" applyNumberFormat="1" applyFont="1" applyFill="1" applyBorder="1" applyAlignment="1">
      <x:alignment horizontal="center" vertical="top" wrapText="1"/>
    </x:xf>
    <x:xf numFmtId="0" fontId="6" fillId="4" borderId="10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/>
    <x:xf numFmtId="0" fontId="4" fillId="2" borderId="11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horizontal="center" vertical="center"/>
    </x:xf>
    <x:xf numFmtId="0" fontId="5" fillId="7" borderId="11" xfId="0" applyNumberFormat="1" applyFont="1" applyFill="1" applyBorder="1" applyAlignment="1">
      <x:alignment horizontal="center" vertical="center"/>
    </x:xf>
    <x:xf numFmtId="0" fontId="5" fillId="8" borderId="11" xfId="0" applyNumberFormat="1" applyFont="1" applyFill="1" applyBorder="1" applyAlignment="1">
      <x:alignment horizontal="center" vertical="center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left" vertical="center" wrapText="1"/>
    </x:xf>
    <x:xf numFmtId="0" fontId="6" fillId="0" borderId="12" xfId="0" applyNumberFormat="1" applyFont="1" applyFill="1" applyBorder="1" applyAlignment="1">
      <x:alignment horizontal="left" vertical="center" wrapText="1"/>
    </x:xf>
    <x:xf numFmtId="0" fontId="6" fillId="0" borderId="12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left"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4" fillId="9" borderId="10" xfId="0" applyNumberFormat="1" applyFont="1" applyFill="1" applyBorder="1" applyAlignment="1">
      <x:alignment horizontal="center" vertical="center" wrapText="1"/>
    </x:xf>
    <x:xf numFmtId="0" fontId="10" fillId="0" borderId="10" xfId="0" applyNumberFormat="1" applyFont="1" applyFill="1" applyBorder="1" applyAlignment="1">
      <x:alignment vertical="top" wrapText="1"/>
    </x:xf>
    <x:xf numFmtId="0" fontId="5" fillId="11" borderId="10" xfId="0" applyNumberFormat="1" applyFont="1" applyFill="1" applyBorder="1" applyAlignment="1">
      <x:alignment horizontal="left" vertical="top" wrapText="1"/>
    </x:xf>
    <x:xf numFmtId="0" fontId="6" fillId="11" borderId="10" xfId="0" applyNumberFormat="1" applyFont="1" applyFill="1" applyBorder="1" applyAlignment="1">
      <x:alignment horizontal="left" vertical="top" wrapText="1"/>
    </x:xf>
    <x:xf numFmtId="0" fontId="11" fillId="0" borderId="9" xfId="0" applyNumberFormat="1" applyFont="1" applyFill="1" applyBorder="1"/>
    <x:xf numFmtId="0" fontId="12" fillId="0" borderId="9" xfId="0" applyNumberFormat="1" applyFont="1" applyFill="1" applyBorder="1"/>
    <x:xf numFmtId="0" fontId="6" fillId="0" borderId="10" xfId="0" applyNumberFormat="1" applyFont="1" applyFill="1" applyBorder="1" applyAlignment="1">
      <x:alignment vertical="top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14" fontId="6" fillId="4" borderId="10" xfId="0" applyNumberFormat="1" applyFont="1" applyFill="1" applyBorder="1" applyAlignment="1">
      <x:alignment horizontal="center" vertical="center" wrapText="1"/>
    </x:xf>
    <x:xf numFmtId="0" fontId="18" fillId="0" borderId="10" xfId="0" applyNumberFormat="1" applyFont="1" applyFill="1" applyBorder="1" applyAlignment="1">
      <x:alignment horizontal="left" vertical="top" wrapText="1"/>
    </x:xf>
    <x:xf numFmtId="2" fontId="18" fillId="0" borderId="10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left" vertical="top" wrapText="1"/>
    </x:xf>
    <x:xf numFmtId="0" fontId="18" fillId="0" borderId="10" xfId="0" applyNumberFormat="1" applyFont="1" applyFill="1" applyBorder="1" applyAlignment="1">
      <x:alignment horizontal="center" vertical="center" wrapText="1"/>
    </x:xf>
    <x:xf numFmtId="1" fontId="5" fillId="3" borderId="10" xfId="0" applyNumberFormat="1" applyFont="1" applyFill="1" applyBorder="1" applyAlignment="1">
      <x:alignment horizontal="center" vertical="center" wrapText="1"/>
    </x:xf>
    <x:xf numFmtId="14" fontId="18" fillId="0" borderId="10" xfId="0" applyNumberFormat="1" applyFont="1" applyFill="1" applyBorder="1" applyAlignment="1">
      <x:alignment horizontal="center" vertical="center" wrapText="1"/>
    </x:xf>
    <x:xf numFmtId="1" fontId="18" fillId="0" borderId="10" xfId="0" applyNumberFormat="1" applyFont="1" applyFill="1" applyBorder="1" applyAlignment="1">
      <x:alignment horizontal="center" vertical="center" wrapText="1"/>
    </x:xf>
    <x:xf numFmtId="164" fontId="18" fillId="0" borderId="10" xfId="0" applyNumberFormat="1" applyFont="1" applyFill="1" applyBorder="1" applyAlignment="1">
      <x:alignment horizontal="center" vertical="center" wrapText="1"/>
    </x:xf>
    <x:xf numFmtId="1" fontId="19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4" fillId="2" borderId="9" xfId="0" applyNumberFormat="1" applyFont="1" applyFill="1" applyBorder="1" applyAlignment="1">
      <x:alignment horizontal="left" vertical="center" wrapText="1"/>
    </x:xf>
    <x:xf numFmtId="0" fontId="7" fillId="2" borderId="9" xfId="0" applyNumberFormat="1" applyFont="1" applyFill="1" applyBorder="1"/>
    <x:xf numFmtId="0" fontId="2" fillId="0" borderId="9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6" fillId="0" borderId="9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/>
    <x:xf numFmtId="0" fontId="9" fillId="0" borderId="9" xfId="0" applyNumberFormat="1" applyFont="1" applyFill="1" applyBorder="1"/>
    <x:xf numFmtId="0" fontId="3" fillId="0" borderId="9" xfId="0" applyNumberFormat="1" applyFont="1" applyFill="1" applyBorder="1" applyAlignment="1">
      <x:alignment vertical="center" wrapText="1"/>
    </x:xf>
    <x:xf numFmtId="0" fontId="4" fillId="10" borderId="1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0" fillId="15" borderId="0" xfId="0" applyNumberFormat="1" applyFont="1" applyFill="1" applyBorder="1"/>
    <x:xf numFmtId="0" fontId="20" fillId="15" borderId="0" xfId="0" applyNumberFormat="1" applyFont="1" applyFill="1" applyBorder="1" applyAlignment="1">
      <x:alignment horizontal="left"/>
    </x:xf>
    <x:xf numFmtId="0" fontId="20" fillId="15" borderId="0" xfId="0" applyNumberFormat="1" applyFont="1" applyFill="1" applyBorder="1" applyAlignment="1">
      <x:alignment horizontal="left" vertical="center"/>
    </x:xf>
    <x:xf numFmtId="0" fontId="0" fillId="15" borderId="9" xfId="0" applyNumberFormat="1" applyFont="1" applyFill="1" applyBorder="1"/>
    <x:xf numFmtId="0" fontId="20" fillId="15" borderId="9" xfId="0" applyNumberFormat="1" applyFont="1" applyFill="1" applyBorder="1"/>
    <x:xf numFmtId="0" fontId="20" fillId="15" borderId="9" xfId="0" applyNumberFormat="1" applyFont="1" applyFill="1" applyBorder="1" applyAlignment="1">
      <x:alignment horizontal="left"/>
    </x:xf>
    <x:xf numFmtId="0" fontId="20" fillId="15" borderId="9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21" fillId="16" borderId="0" xfId="0" applyNumberFormat="1" applyFont="1" applyFill="1" applyBorder="1"/>
    <x:xf numFmtId="0" fontId="21" fillId="16" borderId="0" xfId="0" applyNumberFormat="1" applyFont="1" applyFill="1" applyBorder="1" applyAlignment="1">
      <x:alignment vertical="center"/>
    </x:xf>
    <x:xf numFmtId="0" fontId="0" fillId="16" borderId="9" xfId="0" applyNumberFormat="1" applyFont="1" applyFill="1" applyBorder="1"/>
    <x:xf numFmtId="0" fontId="21" fillId="16" borderId="9" xfId="0" applyNumberFormat="1" applyFont="1" applyFill="1" applyBorder="1"/>
    <x:xf numFmtId="0" fontId="21" fillId="16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0" fontId="22" fillId="0" borderId="9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  <x:xf numFmtId="0" fontId="23" fillId="0" borderId="9" xfId="0" applyNumberFormat="1" applyFont="1" applyFill="1" applyBorder="1" applyAlignment="1">
      <x:alignment wrapText="1"/>
    </x:xf>
    <x:xf numFmtId="0" fontId="23" fillId="17" borderId="0" xfId="0" applyNumberFormat="1" applyFont="1" applyFill="1" applyBorder="1" applyAlignment="1">
      <x:alignment wrapText="1"/>
    </x:xf>
    <x:xf numFmtId="0" fontId="22" fillId="17" borderId="0" xfId="0" applyNumberFormat="1" applyFont="1" applyFill="1" applyBorder="1" applyAlignment="1">
      <x:alignment wrapText="1"/>
    </x:xf>
    <x:xf numFmtId="0" fontId="24" fillId="17" borderId="0" xfId="0" applyNumberFormat="1" applyFont="1" applyFill="1" applyBorder="1" applyAlignment="1">
      <x:alignment wrapText="1"/>
    </x:xf>
    <x:xf numFmtId="0" fontId="24" fillId="17" borderId="0" xfId="0" applyNumberFormat="1" applyFont="1" applyFill="1" applyBorder="1" applyAlignment="1">
      <x:alignment vertical="center" wrapText="1"/>
    </x:xf>
    <x:xf numFmtId="0" fontId="23" fillId="17" borderId="9" xfId="0" applyNumberFormat="1" applyFont="1" applyFill="1" applyBorder="1" applyAlignment="1">
      <x:alignment wrapText="1"/>
    </x:xf>
    <x:xf numFmtId="0" fontId="22" fillId="17" borderId="9" xfId="0" applyNumberFormat="1" applyFont="1" applyFill="1" applyBorder="1" applyAlignment="1">
      <x:alignment wrapText="1"/>
    </x:xf>
    <x:xf numFmtId="0" fontId="24" fillId="17" borderId="9" xfId="0" applyNumberFormat="1" applyFont="1" applyFill="1" applyBorder="1" applyAlignment="1">
      <x:alignment wrapText="1"/>
    </x:xf>
    <x:xf numFmtId="0" fontId="24" fillId="17" borderId="9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horizontal="left" vertical="center" wrapText="1"/>
    </x:xf>
    <x:xf numFmtId="0" fontId="1" fillId="15" borderId="9" xfId="0" applyNumberFormat="1" applyFont="1" applyFill="1" applyBorder="1" applyAlignment="1">
      <x:alignment horizontal="left" vertical="center" wrapText="1"/>
    </x:xf>
    <x:xf numFmtId="0" fontId="25" fillId="15" borderId="0" xfId="0" applyNumberFormat="1" applyFont="1" applyFill="1" applyBorder="1" applyAlignment="1">
      <x:alignment horizontal="left" vertical="center" wrapText="1"/>
    </x:xf>
    <x:xf numFmtId="0" fontId="26" fillId="15" borderId="0" xfId="0" applyNumberFormat="1" applyFont="1" applyFill="1" applyBorder="1"/>
    <x:xf numFmtId="0" fontId="25" fillId="15" borderId="9" xfId="0" applyNumberFormat="1" applyFont="1" applyFill="1" applyBorder="1" applyAlignment="1">
      <x:alignment horizontal="left" vertical="center" wrapText="1"/>
    </x:xf>
    <x:xf numFmtId="0" fontId="26" fillId="15" borderId="9" xfId="0" applyNumberFormat="1" applyFont="1" applyFill="1" applyBorder="1"/>
    <x:xf numFmtId="0" fontId="2" fillId="16" borderId="0" xfId="0" applyNumberFormat="1" applyFont="1" applyFill="1" applyBorder="1" applyAlignment="1">
      <x:alignment horizontal="left" vertical="center" wrapText="1"/>
    </x:xf>
    <x:xf numFmtId="0" fontId="2" fillId="16" borderId="9" xfId="0" applyNumberFormat="1" applyFont="1" applyFill="1" applyBorder="1" applyAlignment="1">
      <x:alignment horizontal="left" vertical="center" wrapText="1"/>
    </x:xf>
    <x:xf numFmtId="0" fontId="27" fillId="16" borderId="0" xfId="0" applyNumberFormat="1" applyFont="1" applyFill="1" applyBorder="1" applyAlignment="1">
      <x:alignment horizontal="left" vertical="center" wrapText="1"/>
    </x:xf>
    <x:xf numFmtId="0" fontId="28" fillId="16" borderId="0" xfId="0" applyNumberFormat="1" applyFont="1" applyFill="1" applyBorder="1"/>
    <x:xf numFmtId="0" fontId="27" fillId="16" borderId="9" xfId="0" applyNumberFormat="1" applyFont="1" applyFill="1" applyBorder="1" applyAlignment="1">
      <x:alignment horizontal="left" vertical="center" wrapText="1"/>
    </x:xf>
    <x:xf numFmtId="0" fontId="28" fillId="16" borderId="9" xfId="0" applyNumberFormat="1" applyFont="1" applyFill="1" applyBorder="1"/>
    <x:xf numFmtId="0" fontId="26" fillId="15" borderId="0" xfId="0" applyNumberFormat="1" applyFont="1" applyFill="1" applyBorder="1" applyAlignment="1">
      <x:alignment vertical="center"/>
    </x:xf>
    <x:xf numFmtId="0" fontId="28" fillId="1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14" fontId="6" fillId="4" borderId="1" xfId="0" applyNumberFormat="1" applyFont="1" applyFill="1" applyBorder="1" applyAlignment="1">
      <x:alignment horizontal="center" vertical="center" wrapText="1"/>
    </x:xf>
    <x:xf numFmtId="0" fontId="18" fillId="0" borderId="1" xfId="0" applyNumberFormat="1" applyFont="1" applyFill="1" applyBorder="1" applyAlignment="1">
      <x:alignment horizontal="left" vertical="center" wrapText="1"/>
    </x:xf>
    <x:xf numFmtId="2" fontId="18" fillId="0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6" fillId="15" borderId="9" xfId="0" applyNumberFormat="1" applyFont="1" applyFill="1" applyBorder="1" applyAlignment="1">
      <x:alignment vertical="center"/>
    </x:xf>
    <x:xf numFmtId="0" fontId="28" fillId="16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horizontal="left" vertical="center" wrapText="1"/>
    </x:xf>
    <x:xf numFmtId="0" fontId="18" fillId="0" borderId="10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0" fontId="18" fillId="0" borderId="1" xfId="0" applyNumberFormat="1" applyFont="1" applyFill="1" applyBorder="1" applyAlignment="1">
      <x:alignment horizontal="center" vertical="center" wrapText="1"/>
    </x:xf>
    <x:xf numFmtId="1" fontId="5" fillId="3" borderId="1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14" fontId="18" fillId="0" borderId="1" xfId="0" applyNumberFormat="1" applyFont="1" applyFill="1" applyBorder="1" applyAlignment="1">
      <x:alignment horizontal="center" vertical="center" wrapText="1"/>
    </x:xf>
    <x:xf numFmtId="1" fontId="18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164" fontId="18" fillId="0" borderId="1" xfId="0" applyNumberFormat="1" applyFont="1" applyFill="1" applyBorder="1" applyAlignment="1">
      <x:alignment horizontal="center" vertical="center" wrapText="1"/>
    </x:xf>
    <x:xf numFmtId="1" fontId="19" fillId="0" borderId="1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/>
    <x:xf numFmtId="0" fontId="7" fillId="15" borderId="9" xfId="0" applyNumberFormat="1" applyFont="1" applyFill="1" applyBorder="1"/>
    <x:xf numFmtId="0" fontId="25" fillId="15" borderId="0" xfId="0" applyNumberFormat="1" applyFont="1" applyFill="1" applyBorder="1"/>
    <x:xf numFmtId="0" fontId="25" fillId="15" borderId="9" xfId="0" applyNumberFormat="1" applyFont="1" applyFill="1" applyBorder="1"/>
    <x:xf numFmtId="0" fontId="2" fillId="16" borderId="0" xfId="0" applyNumberFormat="1" applyFont="1" applyFill="1" applyBorder="1" applyAlignment="1">
      <x:alignment vertical="top" wrapText="1"/>
    </x:xf>
    <x:xf numFmtId="0" fontId="2" fillId="16" borderId="9" xfId="0" applyNumberFormat="1" applyFont="1" applyFill="1" applyBorder="1" applyAlignment="1">
      <x:alignment vertical="top" wrapText="1"/>
    </x:xf>
    <x:xf numFmtId="0" fontId="27" fillId="16" borderId="0" xfId="0" applyNumberFormat="1" applyFont="1" applyFill="1" applyBorder="1" applyAlignment="1">
      <x:alignment vertical="top" wrapText="1"/>
    </x:xf>
    <x:xf numFmtId="0" fontId="27" fillId="16" borderId="9" xfId="0" applyNumberFormat="1" applyFont="1" applyFill="1" applyBorder="1" applyAlignment="1">
      <x:alignment vertical="top" wrapText="1"/>
    </x:xf>
    <x:xf numFmtId="0" fontId="25" fillId="15" borderId="0" xfId="0" applyNumberFormat="1" applyFont="1" applyFill="1" applyBorder="1" applyAlignment="1">
      <x:alignment vertical="center"/>
    </x:xf>
    <x:xf numFmtId="0" fontId="27" fillId="16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25" fillId="15" borderId="9" xfId="0" applyNumberFormat="1" applyFont="1" applyFill="1" applyBorder="1" applyAlignment="1">
      <x:alignment vertical="center"/>
    </x:xf>
    <x:xf numFmtId="0" fontId="27" fillId="16" borderId="9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horizontal="left" vertical="center" wrapText="1"/>
    </x:xf>
    <x:xf numFmtId="0" fontId="6" fillId="16" borderId="9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left" vertical="center" wrapText="1"/>
    </x:xf>
    <x:xf numFmtId="0" fontId="6" fillId="0" borderId="3" xfId="0" applyNumberFormat="1" applyFont="1" applyFill="1" applyBorder="1" applyAlignment="1">
      <x:alignment horizontal="left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/>
    <x:xf numFmtId="0" fontId="9" fillId="15" borderId="9" xfId="0" applyNumberFormat="1" applyFont="1" applyFill="1" applyBorder="1"/>
    <x:xf numFmtId="0" fontId="2" fillId="16" borderId="0" xfId="0" applyNumberFormat="1" applyFont="1" applyFill="1" applyBorder="1"/>
    <x:xf numFmtId="0" fontId="2" fillId="16" borderId="9" xfId="0" applyNumberFormat="1" applyFont="1" applyFill="1" applyBorder="1"/>
    <x:xf numFmtId="0" fontId="27" fillId="16" borderId="0" xfId="0" applyNumberFormat="1" applyFont="1" applyFill="1" applyBorder="1"/>
    <x:xf numFmtId="0" fontId="27" fillId="16" borderId="9" xfId="0" applyNumberFormat="1" applyFont="1" applyFill="1" applyBorder="1"/>
    <x:xf numFmtId="0" fontId="27" fillId="16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horizontal="left" vertical="center" wrapText="1"/>
    </x:xf>
    <x:xf numFmtId="0" fontId="27" fillId="16" borderId="9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10" fillId="0" borderId="10" xfId="0" applyNumberFormat="1" applyFont="1" applyFill="1" applyBorder="1" applyAlignment="1">
      <x:alignment vertical="center" wrapText="1"/>
    </x:xf>
    <x:xf numFmtId="0" fontId="5" fillId="11" borderId="10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center" vertical="center" wrapText="1"/>
    </x:xf>
    <x:xf numFmtId="0" fontId="6" fillId="11" borderId="10" xfId="0" applyNumberFormat="1" applyFont="1" applyFill="1" applyBorder="1" applyAlignment="1">
      <x:alignment horizontal="left" vertical="center" wrapText="1"/>
    </x:xf>
    <x:xf numFmtId="0" fontId="11" fillId="15" borderId="0" xfId="0" applyNumberFormat="1" applyFont="1" applyFill="1" applyBorder="1"/>
    <x:xf numFmtId="0" fontId="11" fillId="15" borderId="9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0" fontId="29" fillId="17" borderId="1" xfId="0" applyNumberFormat="1" applyFont="1" applyFill="1" applyBorder="1" applyAlignment="1">
      <x:alignment horizontal="center" vertical="center" wrapText="1"/>
    </x:xf>
    <x:xf numFmtId="0" fontId="4" fillId="17" borderId="10" xfId="0" applyNumberFormat="1" applyFont="1" applyFill="1" applyBorder="1" applyAlignment="1">
      <x:alignment horizontal="center" vertical="center" wrapText="1"/>
    </x:xf>
    <x:xf numFmtId="0" fontId="29" fillId="17" borderId="10" xfId="0" applyNumberFormat="1" applyFont="1" applyFill="1" applyBorder="1" applyAlignment="1">
      <x:alignment horizontal="center" vertical="center" wrapText="1"/>
    </x:xf>
    <x:xf numFmtId="0" fontId="6" fillId="18" borderId="1" xfId="0" applyNumberFormat="1" applyFont="1" applyFill="1" applyBorder="1" applyAlignment="1">
      <x:alignment horizontal="left" vertical="center" wrapText="1"/>
    </x:xf>
    <x:xf numFmtId="14" fontId="6" fillId="18" borderId="1" xfId="0" applyNumberFormat="1" applyFont="1" applyFill="1" applyBorder="1" applyAlignment="1">
      <x:alignment horizontal="center" vertical="center" wrapText="1"/>
    </x:xf>
    <x:xf numFmtId="0" fontId="6" fillId="18" borderId="10" xfId="0" applyNumberFormat="1" applyFont="1" applyFill="1" applyBorder="1" applyAlignment="1">
      <x:alignment horizontal="left" vertical="center" wrapText="1"/>
    </x:xf>
    <x:xf numFmtId="14" fontId="6" fillId="18" borderId="10" xfId="0" applyNumberFormat="1" applyFont="1" applyFill="1" applyBorder="1" applyAlignment="1">
      <x:alignment horizontal="center" vertical="center" wrapText="1"/>
    </x:xf>
    <x:xf numFmtId="0" fontId="6" fillId="18" borderId="1" xfId="0" applyNumberFormat="1" applyFont="1" applyFill="1" applyBorder="1" applyAlignment="1">
      <x:alignment horizontal="center" vertical="center" wrapText="1"/>
    </x:xf>
    <x:xf numFmtId="0" fontId="6" fillId="18" borderId="10" xfId="0" applyNumberFormat="1" applyFont="1" applyFill="1" applyBorder="1" applyAlignment="1">
      <x:alignment horizontal="center" vertical="center" wrapText="1"/>
    </x:xf>
    <x:xf numFmtId="200" fontId="6" fillId="18" borderId="1" xfId="0" applyNumberFormat="1" applyFont="1" applyFill="1" applyBorder="1" applyAlignment="1">
      <x:alignment horizontal="center" vertical="center" wrapText="1"/>
    </x:xf>
    <x:xf numFmtId="200" fontId="18" fillId="0" borderId="1" xfId="0" applyNumberFormat="1" applyFont="1" applyFill="1" applyBorder="1" applyAlignment="1">
      <x:alignment horizontal="left" vertical="center" wrapText="1"/>
    </x:xf>
    <x:xf numFmtId="200" fontId="6" fillId="18" borderId="10" xfId="0" applyNumberFormat="1" applyFont="1" applyFill="1" applyBorder="1" applyAlignment="1">
      <x:alignment horizontal="center" vertical="center" wrapText="1"/>
    </x:xf>
    <x:xf numFmtId="200" fontId="18" fillId="0" borderId="10" xfId="0" applyNumberFormat="1" applyFont="1" applyFill="1" applyBorder="1" applyAlignment="1">
      <x:alignment horizontal="left" vertical="center" wrapText="1"/>
    </x:xf>
    <x:xf numFmtId="201" fontId="18" fillId="0" borderId="1" xfId="0" applyNumberFormat="1" applyFont="1" applyFill="1" applyBorder="1" applyAlignment="1">
      <x:alignment horizontal="center" vertical="center" wrapText="1"/>
    </x:xf>
    <x:xf numFmtId="201" fontId="18" fillId="0" borderId="10" xfId="0" applyNumberFormat="1" applyFont="1" applyFill="1" applyBorder="1" applyAlignment="1">
      <x:alignment horizontal="center" vertical="center" wrapText="1"/>
    </x:xf>
    <x:xf numFmtId="14" fontId="18" fillId="18" borderId="1" xfId="0" applyNumberFormat="1" applyFont="1" applyFill="1" applyBorder="1" applyAlignment="1">
      <x:alignment horizontal="center" vertical="center" wrapText="1"/>
    </x:xf>
    <x:xf numFmtId="0" fontId="6" fillId="18" borderId="1" xfId="0" applyNumberFormat="1" applyFont="1" applyFill="1" applyBorder="1" applyAlignment="1">
      <x:alignment horizontal="left" vertical="top" wrapText="1"/>
    </x:xf>
    <x:xf numFmtId="14" fontId="18" fillId="18" borderId="10" xfId="0" applyNumberFormat="1" applyFont="1" applyFill="1" applyBorder="1" applyAlignment="1">
      <x:alignment horizontal="center" vertical="center" wrapText="1"/>
    </x:xf>
    <x:xf numFmtId="0" fontId="6" fillId="18" borderId="10" xfId="0" applyNumberFormat="1" applyFont="1" applyFill="1" applyBorder="1" applyAlignment="1">
      <x:alignment horizontal="left" vertical="top" wrapText="1"/>
    </x:xf>
    <x:xf numFmtId="200" fontId="18" fillId="18" borderId="1" xfId="0" applyNumberFormat="1" applyFont="1" applyFill="1" applyBorder="1" applyAlignment="1">
      <x:alignment horizontal="center" vertical="center" wrapText="1"/>
    </x:xf>
    <x:xf numFmtId="200" fontId="18" fillId="18" borderId="1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30" fillId="15" borderId="0" xfId="0" applyNumberFormat="1" applyFont="1" applyFill="1" applyBorder="1" applyAlignment="1">
      <x:alignment horizontal="left" vertical="center" wrapText="1"/>
    </x:xf>
    <x:xf numFmtId="0" fontId="24" fillId="15" borderId="0" xfId="0" applyNumberFormat="1" applyFont="1" applyFill="1" applyBorder="1" applyAlignment="1">
      <x:alignment vertical="center"/>
    </x:xf>
    <x:xf numFmtId="0" fontId="4" fillId="15" borderId="9" xfId="0" applyNumberFormat="1" applyFont="1" applyFill="1" applyBorder="1" applyAlignment="1">
      <x:alignment horizontal="left" vertical="center" wrapText="1"/>
    </x:xf>
    <x:xf numFmtId="0" fontId="0" fillId="15" borderId="9" xfId="0" applyNumberFormat="1" applyFont="1" applyFill="1" applyBorder="1" applyAlignment="1">
      <x:alignment vertical="center"/>
    </x:xf>
    <x:xf numFmtId="0" fontId="30" fillId="15" borderId="9" xfId="0" applyNumberFormat="1" applyFont="1" applyFill="1" applyBorder="1" applyAlignment="1">
      <x:alignment horizontal="left" vertical="center" wrapText="1"/>
    </x:xf>
    <x:xf numFmtId="0" fontId="24" fillId="15" borderId="9" xfId="0" applyNumberFormat="1" applyFont="1" applyFill="1" applyBorder="1" applyAlignment="1">
      <x:alignment vertical="center"/>
    </x:xf>
    <x:xf numFmtId="0" fontId="31" fillId="2" borderId="1" xfId="0" applyNumberFormat="1" applyFont="1" applyFill="1" applyBorder="1" applyAlignment="1">
      <x:alignment horizontal="center" vertical="center" wrapText="1"/>
    </x:xf>
    <x:xf numFmtId="0" fontId="31" fillId="3" borderId="1" xfId="0" applyNumberFormat="1" applyFont="1" applyFill="1" applyBorder="1" applyAlignment="1">
      <x:alignment horizontal="left" vertical="center" wrapText="1"/>
    </x:xf>
    <x:xf numFmtId="0" fontId="31" fillId="2" borderId="10" xfId="0" applyNumberFormat="1" applyFont="1" applyFill="1" applyBorder="1" applyAlignment="1">
      <x:alignment horizontal="center" vertical="center" wrapText="1"/>
    </x:xf>
    <x:xf numFmtId="0" fontId="31" fillId="3" borderId="10" xfId="0" applyNumberFormat="1" applyFont="1" applyFill="1" applyBorder="1" applyAlignment="1">
      <x:alignment horizontal="left" vertical="center" wrapText="1"/>
    </x:xf>
    <x:xf numFmtId="1" fontId="18" fillId="16" borderId="1" xfId="0" applyNumberFormat="1" applyFont="1" applyFill="1" applyBorder="1" applyAlignment="1">
      <x:alignment horizontal="center" vertical="center" wrapText="1"/>
    </x:xf>
    <x:xf numFmtId="164" fontId="18" fillId="16" borderId="1" xfId="0" applyNumberFormat="1" applyFont="1" applyFill="1" applyBorder="1" applyAlignment="1">
      <x:alignment horizontal="center" vertical="center" wrapText="1"/>
    </x:xf>
    <x:xf numFmtId="1" fontId="32" fillId="16" borderId="1" xfId="0" applyNumberFormat="1" applyFont="1" applyFill="1" applyBorder="1" applyAlignment="1">
      <x:alignment horizontal="center" vertical="center" wrapText="1"/>
    </x:xf>
    <x:xf numFmtId="164" fontId="32" fillId="16" borderId="1" xfId="0" applyNumberFormat="1" applyFont="1" applyFill="1" applyBorder="1" applyAlignment="1">
      <x:alignment horizontal="center" vertical="center" wrapText="1"/>
    </x:xf>
    <x:xf numFmtId="1" fontId="18" fillId="16" borderId="10" xfId="0" applyNumberFormat="1" applyFont="1" applyFill="1" applyBorder="1" applyAlignment="1">
      <x:alignment horizontal="center" vertical="center" wrapText="1"/>
    </x:xf>
    <x:xf numFmtId="164" fontId="18" fillId="16" borderId="10" xfId="0" applyNumberFormat="1" applyFont="1" applyFill="1" applyBorder="1" applyAlignment="1">
      <x:alignment horizontal="center" vertical="center" wrapText="1"/>
    </x:xf>
    <x:xf numFmtId="1" fontId="32" fillId="16" borderId="10" xfId="0" applyNumberFormat="1" applyFont="1" applyFill="1" applyBorder="1" applyAlignment="1">
      <x:alignment horizontal="center" vertical="center" wrapText="1"/>
    </x:xf>
    <x:xf numFmtId="164" fontId="32" fillId="16" borderId="10" xfId="0" applyNumberFormat="1" applyFont="1" applyFill="1" applyBorder="1" applyAlignment="1">
      <x:alignment horizontal="center" vertical="center" wrapText="1"/>
    </x:xf>
    <x:xf numFmtId="0" fontId="26" fillId="15" borderId="0" xfId="0" applyNumberFormat="1" applyFont="1" applyFill="1" applyBorder="1" applyAlignment="1">
      <x:alignment vertical="center" wrapText="1"/>
    </x:xf>
    <x:xf numFmtId="0" fontId="28" fillId="1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6" fillId="15" borderId="9" xfId="0" applyNumberFormat="1" applyFont="1" applyFill="1" applyBorder="1" applyAlignment="1">
      <x:alignment vertical="center" wrapText="1"/>
    </x:xf>
    <x:xf numFmtId="0" fontId="28" fillId="16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4" fillId="15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5" fillId="18" borderId="1" xfId="0" applyNumberFormat="1" applyFont="1" applyFill="1" applyBorder="1" applyAlignment="1">
      <x:alignment horizontal="left" vertical="center" wrapText="1"/>
    </x:xf>
    <x:xf numFmtId="0" fontId="0" fillId="18" borderId="5" xfId="0" applyNumberFormat="1" applyFont="1" applyFill="1" applyBorder="1" applyAlignment="1">
      <x:alignment vertical="center" wrapText="1"/>
    </x:xf>
    <x:xf numFmtId="0" fontId="0" fillId="18" borderId="6" xfId="0" applyNumberFormat="1" applyFont="1" applyFill="1" applyBorder="1" applyAlignment="1">
      <x:alignment vertical="center" wrapText="1"/>
    </x:xf>
    <x:xf numFmtId="1" fontId="19" fillId="18" borderId="1" xfId="0" applyNumberFormat="1" applyFont="1" applyFill="1" applyBorder="1" applyAlignment="1">
      <x:alignment horizontal="center" vertical="center" wrapText="1"/>
    </x:xf>
    <x:xf numFmtId="0" fontId="18" fillId="18" borderId="1" xfId="0" applyNumberFormat="1" applyFont="1" applyFill="1" applyBorder="1" applyAlignment="1">
      <x:alignment horizontal="left" vertical="center" wrapText="1"/>
    </x:xf>
    <x:xf numFmtId="164" fontId="18" fillId="18" borderId="1" xfId="0" applyNumberFormat="1" applyFont="1" applyFill="1" applyBorder="1" applyAlignment="1">
      <x:alignment horizontal="center" vertical="center" wrapText="1"/>
    </x:xf>
    <x:xf numFmtId="0" fontId="5" fillId="18" borderId="10" xfId="0" applyNumberFormat="1" applyFont="1" applyFill="1" applyBorder="1" applyAlignment="1">
      <x:alignment horizontal="left" vertical="center" wrapText="1"/>
    </x:xf>
    <x:xf numFmtId="0" fontId="0" fillId="18" borderId="13" xfId="0" applyNumberFormat="1" applyFont="1" applyFill="1" applyBorder="1" applyAlignment="1">
      <x:alignment vertical="center" wrapText="1"/>
    </x:xf>
    <x:xf numFmtId="0" fontId="0" fillId="18" borderId="14" xfId="0" applyNumberFormat="1" applyFont="1" applyFill="1" applyBorder="1" applyAlignment="1">
      <x:alignment vertical="center" wrapText="1"/>
    </x:xf>
    <x:xf numFmtId="1" fontId="19" fillId="18" borderId="10" xfId="0" applyNumberFormat="1" applyFont="1" applyFill="1" applyBorder="1" applyAlignment="1">
      <x:alignment horizontal="center" vertical="center" wrapText="1"/>
    </x:xf>
    <x:xf numFmtId="0" fontId="18" fillId="18" borderId="10" xfId="0" applyNumberFormat="1" applyFont="1" applyFill="1" applyBorder="1" applyAlignment="1">
      <x:alignment horizontal="left" vertical="center" wrapText="1"/>
    </x:xf>
    <x:xf numFmtId="164" fontId="18" fillId="18" borderId="10" xfId="0" applyNumberFormat="1" applyFont="1" applyFill="1" applyBorder="1" applyAlignment="1">
      <x:alignment horizontal="center" vertical="center" wrapText="1"/>
    </x:xf>
    <x:xf numFmtId="0" fontId="33" fillId="18" borderId="1" xfId="0" applyNumberFormat="1" applyFont="1" applyFill="1" applyBorder="1" applyAlignment="1">
      <x:alignment horizontal="left" vertical="center" wrapText="1"/>
    </x:xf>
    <x:xf numFmtId="0" fontId="34" fillId="18" borderId="5" xfId="0" applyNumberFormat="1" applyFont="1" applyFill="1" applyBorder="1" applyAlignment="1">
      <x:alignment vertical="center" wrapText="1"/>
    </x:xf>
    <x:xf numFmtId="0" fontId="34" fillId="18" borderId="6" xfId="0" applyNumberFormat="1" applyFont="1" applyFill="1" applyBorder="1" applyAlignment="1">
      <x:alignment vertical="center" wrapText="1"/>
    </x:xf>
    <x:xf numFmtId="1" fontId="35" fillId="18" borderId="1" xfId="0" applyNumberFormat="1" applyFont="1" applyFill="1" applyBorder="1" applyAlignment="1">
      <x:alignment horizontal="center" vertical="center" wrapText="1"/>
    </x:xf>
    <x:xf numFmtId="164" fontId="33" fillId="18" borderId="1" xfId="0" applyNumberFormat="1" applyFont="1" applyFill="1" applyBorder="1" applyAlignment="1">
      <x:alignment horizontal="center" vertical="center" wrapText="1"/>
    </x:xf>
    <x:xf numFmtId="0" fontId="33" fillId="18" borderId="10" xfId="0" applyNumberFormat="1" applyFont="1" applyFill="1" applyBorder="1" applyAlignment="1">
      <x:alignment horizontal="left" vertical="center" wrapText="1"/>
    </x:xf>
    <x:xf numFmtId="0" fontId="34" fillId="18" borderId="13" xfId="0" applyNumberFormat="1" applyFont="1" applyFill="1" applyBorder="1" applyAlignment="1">
      <x:alignment vertical="center" wrapText="1"/>
    </x:xf>
    <x:xf numFmtId="0" fontId="34" fillId="18" borderId="14" xfId="0" applyNumberFormat="1" applyFont="1" applyFill="1" applyBorder="1" applyAlignment="1">
      <x:alignment vertical="center" wrapText="1"/>
    </x:xf>
    <x:xf numFmtId="1" fontId="35" fillId="18" borderId="10" xfId="0" applyNumberFormat="1" applyFont="1" applyFill="1" applyBorder="1" applyAlignment="1">
      <x:alignment horizontal="center" vertical="center" wrapText="1"/>
    </x:xf>
    <x:xf numFmtId="164" fontId="33" fillId="18" borderId="10" xfId="0" applyNumberFormat="1" applyFont="1" applyFill="1" applyBorder="1" applyAlignment="1">
      <x:alignment horizontal="center" vertical="center" wrapText="1"/>
    </x:xf>
    <x:xf numFmtId="0" fontId="4" fillId="17" borderId="2" xfId="0" applyNumberFormat="1" applyFont="1" applyFill="1" applyBorder="1" applyAlignment="1">
      <x:alignment horizontal="center" vertical="center"/>
    </x:xf>
    <x:xf numFmtId="0" fontId="4" fillId="17" borderId="2" xfId="0" applyNumberFormat="1" applyFont="1" applyFill="1" applyBorder="1" applyAlignment="1">
      <x:alignment horizontal="center" vertical="center" wrapText="1"/>
    </x:xf>
    <x:xf numFmtId="0" fontId="4" fillId="17" borderId="11" xfId="0" applyNumberFormat="1" applyFont="1" applyFill="1" applyBorder="1" applyAlignment="1">
      <x:alignment horizontal="center" vertical="center"/>
    </x:xf>
    <x:xf numFmtId="0" fontId="4" fillId="17" borderId="1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8" borderId="11" xfId="0" applyNumberFormat="1" applyFont="1" applyFill="1" applyBorder="1" applyAlignment="1">
      <x:alignment horizontal="center" vertical="center" wrapText="1"/>
    </x:xf>
    <x:xf numFmtId="0" fontId="4" fillId="17" borderId="3" xfId="0" applyNumberFormat="1" applyFont="1" applyFill="1" applyBorder="1" applyAlignment="1">
      <x:alignment horizontal="center" vertical="center" wrapText="1"/>
    </x:xf>
    <x:xf numFmtId="0" fontId="29" fillId="17" borderId="3" xfId="0" applyNumberFormat="1" applyFont="1" applyFill="1" applyBorder="1" applyAlignment="1">
      <x:alignment horizontal="center" vertical="center" wrapText="1"/>
    </x:xf>
    <x:xf numFmtId="0" fontId="4" fillId="17" borderId="12" xfId="0" applyNumberFormat="1" applyFont="1" applyFill="1" applyBorder="1" applyAlignment="1">
      <x:alignment horizontal="center" vertical="center" wrapText="1"/>
    </x:xf>
    <x:xf numFmtId="0" fontId="29" fillId="17" borderId="12" xfId="0" applyNumberFormat="1" applyFont="1" applyFill="1" applyBorder="1" applyAlignment="1">
      <x:alignment horizontal="center" vertical="center" wrapText="1"/>
    </x:xf>
    <x:xf numFmtId="0" fontId="6" fillId="18" borderId="3" xfId="0" applyNumberFormat="1" applyFont="1" applyFill="1" applyBorder="1" applyAlignment="1">
      <x:alignment horizontal="left" vertical="center" wrapText="1"/>
    </x:xf>
    <x:xf numFmtId="0" fontId="6" fillId="18" borderId="12" xfId="0" applyNumberFormat="1" applyFont="1" applyFill="1" applyBorder="1" applyAlignment="1">
      <x:alignment horizontal="left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0" fillId="17" borderId="5" xfId="0" applyNumberFormat="1" applyFont="1" applyFill="1" applyBorder="1" applyAlignment="1">
      <x:alignment vertical="center"/>
    </x:xf>
    <x:xf numFmtId="0" fontId="0" fillId="17" borderId="6" xfId="0" applyNumberFormat="1" applyFont="1" applyFill="1" applyBorder="1" applyAlignment="1">
      <x:alignment vertical="center"/>
    </x:xf>
    <x:xf numFmtId="0" fontId="36" fillId="17" borderId="0" xfId="0" applyNumberFormat="1" applyFont="1" applyFill="1" applyBorder="1" applyAlignment="1">
      <x:alignment vertical="center"/>
    </x:xf>
    <x:xf numFmtId="0" fontId="36" fillId="17" borderId="5" xfId="0" applyNumberFormat="1" applyFont="1" applyFill="1" applyBorder="1" applyAlignment="1">
      <x:alignment vertical="center"/>
    </x:xf>
    <x:xf numFmtId="0" fontId="36" fillId="17" borderId="6" xfId="0" applyNumberFormat="1" applyFont="1" applyFill="1" applyBorder="1" applyAlignment="1">
      <x:alignment vertical="center"/>
    </x:xf>
    <x:xf numFmtId="0" fontId="36" fillId="17" borderId="0" xfId="0" applyNumberFormat="1" applyFont="1" applyFill="1" applyBorder="1" applyAlignment="1">
      <x:alignment vertical="center" wrapText="1"/>
    </x:xf>
    <x:xf numFmtId="0" fontId="36" fillId="17" borderId="5" xfId="0" applyNumberFormat="1" applyFont="1" applyFill="1" applyBorder="1" applyAlignment="1">
      <x:alignment vertical="center" wrapText="1"/>
    </x:xf>
    <x:xf numFmtId="0" fontId="36" fillId="17" borderId="6" xfId="0" applyNumberFormat="1" applyFont="1" applyFill="1" applyBorder="1" applyAlignment="1">
      <x:alignment vertical="center" wrapText="1"/>
    </x:xf>
    <x:xf numFmtId="0" fontId="36" fillId="17" borderId="0" xfId="0" applyNumberFormat="1" applyFont="1" applyFill="1" applyBorder="1" applyAlignment="1">
      <x:alignment horizontal="center" vertical="center" wrapText="1"/>
    </x:xf>
    <x:xf numFmtId="0" fontId="36" fillId="17" borderId="5" xfId="0" applyNumberFormat="1" applyFont="1" applyFill="1" applyBorder="1" applyAlignment="1">
      <x:alignment horizontal="center" vertical="center" wrapText="1"/>
    </x:xf>
    <x:xf numFmtId="0" fontId="36" fillId="17" borderId="6" xfId="0" applyNumberFormat="1" applyFont="1" applyFill="1" applyBorder="1" applyAlignment="1">
      <x:alignment horizontal="center" vertical="center" wrapText="1"/>
    </x:xf>
    <x:xf numFmtId="0" fontId="0" fillId="17" borderId="9" xfId="0" applyNumberFormat="1" applyFont="1" applyFill="1" applyBorder="1" applyAlignment="1">
      <x:alignment vertical="center"/>
    </x:xf>
    <x:xf numFmtId="0" fontId="0" fillId="17" borderId="13" xfId="0" applyNumberFormat="1" applyFont="1" applyFill="1" applyBorder="1" applyAlignment="1">
      <x:alignment vertical="center"/>
    </x:xf>
    <x:xf numFmtId="0" fontId="0" fillId="17" borderId="14" xfId="0" applyNumberFormat="1" applyFont="1" applyFill="1" applyBorder="1" applyAlignment="1">
      <x:alignment vertical="center"/>
    </x:xf>
    <x:xf numFmtId="0" fontId="36" fillId="17" borderId="9" xfId="0" applyNumberFormat="1" applyFont="1" applyFill="1" applyBorder="1" applyAlignment="1">
      <x:alignment vertical="center"/>
    </x:xf>
    <x:xf numFmtId="0" fontId="36" fillId="17" borderId="13" xfId="0" applyNumberFormat="1" applyFont="1" applyFill="1" applyBorder="1" applyAlignment="1">
      <x:alignment vertical="center"/>
    </x:xf>
    <x:xf numFmtId="0" fontId="36" fillId="17" borderId="14" xfId="0" applyNumberFormat="1" applyFont="1" applyFill="1" applyBorder="1" applyAlignment="1">
      <x:alignment vertical="center"/>
    </x:xf>
    <x:xf numFmtId="0" fontId="36" fillId="17" borderId="9" xfId="0" applyNumberFormat="1" applyFont="1" applyFill="1" applyBorder="1" applyAlignment="1">
      <x:alignment vertical="center" wrapText="1"/>
    </x:xf>
    <x:xf numFmtId="0" fontId="36" fillId="17" borderId="13" xfId="0" applyNumberFormat="1" applyFont="1" applyFill="1" applyBorder="1" applyAlignment="1">
      <x:alignment vertical="center" wrapText="1"/>
    </x:xf>
    <x:xf numFmtId="0" fontId="36" fillId="17" borderId="14" xfId="0" applyNumberFormat="1" applyFont="1" applyFill="1" applyBorder="1" applyAlignment="1">
      <x:alignment vertical="center" wrapText="1"/>
    </x:xf>
    <x:xf numFmtId="0" fontId="36" fillId="17" borderId="9" xfId="0" applyNumberFormat="1" applyFont="1" applyFill="1" applyBorder="1" applyAlignment="1">
      <x:alignment horizontal="center" vertical="center" wrapText="1"/>
    </x:xf>
    <x:xf numFmtId="0" fontId="36" fillId="17" borderId="13" xfId="0" applyNumberFormat="1" applyFont="1" applyFill="1" applyBorder="1" applyAlignment="1">
      <x:alignment horizontal="center" vertical="center" wrapText="1"/>
    </x:xf>
    <x:xf numFmtId="0" fontId="36" fillId="17" borderId="14" xfId="0" applyNumberFormat="1" applyFont="1" applyFill="1" applyBorder="1" applyAlignment="1">
      <x:alignment horizontal="center" vertical="center" wrapText="1"/>
    </x:xf>
    <x:xf numFmtId="0" fontId="0" fillId="18" borderId="4" xfId="0" applyNumberFormat="1" applyFont="1" applyFill="1" applyBorder="1" applyAlignment="1">
      <x:alignment vertical="center"/>
    </x:xf>
    <x:xf numFmtId="0" fontId="10" fillId="18" borderId="1" xfId="0" applyNumberFormat="1" applyFont="1" applyFill="1" applyBorder="1" applyAlignment="1">
      <x:alignment vertical="center" wrapText="1"/>
    </x:xf>
    <x:xf numFmtId="0" fontId="0" fillId="18" borderId="16" xfId="0" applyNumberFormat="1" applyFont="1" applyFill="1" applyBorder="1" applyAlignment="1">
      <x:alignment vertical="center"/>
    </x:xf>
    <x:xf numFmtId="0" fontId="10" fillId="18" borderId="10" xfId="0" applyNumberFormat="1" applyFont="1" applyFill="1" applyBorder="1" applyAlignment="1">
      <x:alignment vertical="center" wrapText="1"/>
    </x:xf>
    <x:xf numFmtId="0" fontId="4" fillId="18" borderId="1" xfId="0" applyNumberFormat="1" applyFont="1" applyFill="1" applyBorder="1" applyAlignment="1">
      <x:alignment horizontal="center" vertical="center" wrapText="1"/>
    </x:xf>
    <x:xf numFmtId="0" fontId="4" fillId="18" borderId="10" xfId="0" applyNumberFormat="1" applyFont="1" applyFill="1" applyBorder="1" applyAlignment="1">
      <x:alignment horizontal="center" vertical="center" wrapText="1"/>
    </x:xf>
    <x:xf numFmtId="0" fontId="29" fillId="17" borderId="6" xfId="0" applyNumberFormat="1" applyFont="1" applyFill="1" applyBorder="1" applyAlignment="1">
      <x:alignment horizontal="center" vertical="center" wrapText="1"/>
    </x:xf>
    <x:xf numFmtId="0" fontId="29" fillId="17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center"/>
    </x:xf>
    <x:xf numFmtId="0" fontId="0" fillId="18" borderId="19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 wrapText="1"/>
    </x:xf>
    <x:xf numFmtId="0" fontId="10" fillId="18" borderId="17" xfId="0" applyNumberFormat="1" applyFont="1" applyFill="1" applyBorder="1" applyAlignment="1">
      <x:alignment vertical="center" wrapText="1"/>
    </x:xf>
    <x:xf numFmtId="0" fontId="5" fillId="11" borderId="6" xfId="0" applyNumberFormat="1" applyFont="1" applyFill="1" applyBorder="1" applyAlignment="1">
      <x:alignment horizontal="left" vertical="center" wrapText="1"/>
    </x:xf>
    <x:xf numFmtId="0" fontId="6" fillId="18" borderId="17" xfId="0" applyNumberFormat="1" applyFont="1" applyFill="1" applyBorder="1" applyAlignment="1">
      <x:alignment horizontal="left" vertical="center" wrapText="1"/>
    </x:xf>
    <x:xf numFmtId="0" fontId="6" fillId="11" borderId="6" xfId="0" applyNumberFormat="1" applyFont="1" applyFill="1" applyBorder="1" applyAlignment="1">
      <x:alignment horizontal="left" vertical="center" wrapText="1"/>
    </x:xf>
    <x:xf numFmtId="0" fontId="6" fillId="11" borderId="20" xfId="0" applyNumberFormat="1" applyFont="1" applyFill="1" applyBorder="1" applyAlignment="1">
      <x:alignment horizontal="left" vertical="center" wrapText="1"/>
    </x:xf>
    <x:xf numFmtId="0" fontId="6" fillId="0" borderId="21" xfId="0" applyNumberFormat="1" applyFont="1" applyFill="1" applyBorder="1" applyAlignment="1">
      <x:alignment horizontal="left" vertical="center" wrapText="1"/>
    </x:xf>
    <x:xf numFmtId="0" fontId="6" fillId="18" borderId="21" xfId="0" applyNumberFormat="1" applyFont="1" applyFill="1" applyBorder="1" applyAlignment="1">
      <x:alignment horizontal="center" vertical="center" wrapText="1"/>
    </x:xf>
    <x:xf numFmtId="0" fontId="6" fillId="18" borderId="21" xfId="0" applyNumberFormat="1" applyFont="1" applyFill="1" applyBorder="1" applyAlignment="1">
      <x:alignment horizontal="left" vertical="center" wrapText="1"/>
    </x:xf>
    <x:xf numFmtId="0" fontId="6" fillId="0" borderId="21" xfId="0" applyNumberFormat="1" applyFont="1" applyFill="1" applyBorder="1" applyAlignment="1">
      <x:alignment horizontal="center" vertical="center" wrapText="1"/>
    </x:xf>
    <x:xf numFmtId="0" fontId="6" fillId="18" borderId="22" xfId="0" applyNumberFormat="1" applyFont="1" applyFill="1" applyBorder="1" applyAlignment="1">
      <x:alignment horizontal="left" vertical="center" wrapText="1"/>
    </x:xf>
    <x:xf numFmtId="0" fontId="29" fillId="17" borderId="14" xfId="0" applyNumberFormat="1" applyFont="1" applyFill="1" applyBorder="1" applyAlignment="1">
      <x:alignment horizontal="center" vertical="center" wrapText="1"/>
    </x:xf>
    <x:xf numFmtId="0" fontId="29" fillId="17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vertical="center"/>
    </x:xf>
    <x:xf numFmtId="0" fontId="0" fillId="18" borderId="25" xfId="0" applyNumberFormat="1" applyFont="1" applyFill="1" applyBorder="1" applyAlignment="1">
      <x:alignment vertical="center"/>
    </x:xf>
    <x:xf numFmtId="0" fontId="10" fillId="0" borderId="14" xfId="0" applyNumberFormat="1" applyFont="1" applyFill="1" applyBorder="1" applyAlignment="1">
      <x:alignment vertical="center" wrapText="1"/>
    </x:xf>
    <x:xf numFmtId="0" fontId="10" fillId="18" borderId="23" xfId="0" applyNumberFormat="1" applyFont="1" applyFill="1" applyBorder="1" applyAlignment="1">
      <x:alignment vertical="center" wrapText="1"/>
    </x:xf>
    <x:xf numFmtId="0" fontId="5" fillId="11" borderId="14" xfId="0" applyNumberFormat="1" applyFont="1" applyFill="1" applyBorder="1" applyAlignment="1">
      <x:alignment horizontal="left" vertical="center" wrapText="1"/>
    </x:xf>
    <x:xf numFmtId="0" fontId="6" fillId="18" borderId="23" xfId="0" applyNumberFormat="1" applyFont="1" applyFill="1" applyBorder="1" applyAlignment="1">
      <x:alignment horizontal="left" vertical="center" wrapText="1"/>
    </x:xf>
    <x:xf numFmtId="0" fontId="6" fillId="11" borderId="14" xfId="0" applyNumberFormat="1" applyFont="1" applyFill="1" applyBorder="1" applyAlignment="1">
      <x:alignment horizontal="left" vertical="center" wrapText="1"/>
    </x:xf>
    <x:xf numFmtId="0" fontId="6" fillId="11" borderId="26" xfId="0" applyNumberFormat="1" applyFont="1" applyFill="1" applyBorder="1" applyAlignment="1">
      <x:alignment horizontal="left" vertical="center" wrapText="1"/>
    </x:xf>
    <x:xf numFmtId="0" fontId="6" fillId="0" borderId="27" xfId="0" applyNumberFormat="1" applyFont="1" applyFill="1" applyBorder="1" applyAlignment="1">
      <x:alignment horizontal="left" vertical="center" wrapText="1"/>
    </x:xf>
    <x:xf numFmtId="0" fontId="6" fillId="18" borderId="27" xfId="0" applyNumberFormat="1" applyFont="1" applyFill="1" applyBorder="1" applyAlignment="1">
      <x:alignment horizontal="center" vertical="center" wrapText="1"/>
    </x:xf>
    <x:xf numFmtId="0" fontId="6" fillId="18" borderId="27" xfId="0" applyNumberFormat="1" applyFont="1" applyFill="1" applyBorder="1" applyAlignment="1">
      <x:alignment horizontal="left" vertical="center" wrapText="1"/>
    </x:xf>
    <x:xf numFmtId="0" fontId="6" fillId="0" borderId="27" xfId="0" applyNumberFormat="1" applyFont="1" applyFill="1" applyBorder="1" applyAlignment="1">
      <x:alignment horizontal="center" vertical="center" wrapText="1"/>
    </x:xf>
    <x:xf numFmtId="0" fontId="6" fillId="18" borderId="28" xfId="0" applyNumberFormat="1" applyFont="1" applyFill="1" applyBorder="1" applyAlignment="1">
      <x:alignment horizontal="left" vertical="center" wrapText="1"/>
    </x:xf>
    <x:xf numFmtId="0" fontId="25" fillId="15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18" borderId="4" xfId="0" applyNumberFormat="1" applyFont="1" applyFill="1" applyBorder="1" applyAlignment="1">
      <x:alignment vertical="center" wrapText="1"/>
    </x:xf>
    <x:xf numFmtId="0" fontId="0" fillId="18" borderId="19" xfId="0" applyNumberFormat="1" applyFont="1" applyFill="1" applyBorder="1" applyAlignment="1">
      <x:alignment vertical="center" wrapText="1"/>
    </x:xf>
    <x:xf numFmtId="0" fontId="25" fillId="15" borderId="9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18" borderId="16" xfId="0" applyNumberFormat="1" applyFont="1" applyFill="1" applyBorder="1" applyAlignment="1">
      <x:alignment vertical="center" wrapText="1"/>
    </x:xf>
    <x:xf numFmtId="0" fontId="0" fillId="18" borderId="25" xfId="0" applyNumberFormat="1" applyFont="1" applyFill="1" applyBorder="1" applyAlignment="1">
      <x:alignment vertical="center" wrapText="1"/>
    </x:xf>
    <x:xf numFmtId="0" fontId="12" fillId="17" borderId="0" xfId="0" applyNumberFormat="1" applyFont="1" applyFill="1" applyBorder="1" applyAlignment="1">
      <x:alignment vertical="center"/>
    </x:xf>
    <x:xf numFmtId="0" fontId="30" fillId="17" borderId="0" xfId="0" applyNumberFormat="1" applyFont="1" applyFill="1" applyBorder="1" applyAlignment="1">
      <x:alignment vertical="center"/>
    </x:xf>
    <x:xf numFmtId="0" fontId="24" fillId="17" borderId="0" xfId="0" applyNumberFormat="1" applyFont="1" applyFill="1" applyBorder="1" applyAlignment="1">
      <x:alignment vertical="center"/>
    </x:xf>
    <x:xf numFmtId="0" fontId="12" fillId="17" borderId="9" xfId="0" applyNumberFormat="1" applyFont="1" applyFill="1" applyBorder="1" applyAlignment="1">
      <x:alignment vertical="center"/>
    </x:xf>
    <x:xf numFmtId="0" fontId="30" fillId="17" borderId="9" xfId="0" applyNumberFormat="1" applyFont="1" applyFill="1" applyBorder="1" applyAlignment="1">
      <x:alignment vertical="center"/>
    </x:xf>
    <x:xf numFmtId="0" fontId="24" fillId="17" borderId="9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0" fontId="30" fillId="17" borderId="29" xfId="0" applyNumberFormat="1" applyFont="1" applyFill="1" applyBorder="1" applyAlignment="1">
      <x:alignment vertical="center"/>
    </x:xf>
    <x:xf numFmtId="0" fontId="24" fillId="17" borderId="30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30" fillId="17" borderId="32" xfId="0" applyNumberFormat="1" applyFont="1" applyFill="1" applyBorder="1" applyAlignment="1">
      <x:alignment vertical="center"/>
    </x:xf>
    <x:xf numFmtId="0" fontId="24" fillId="17" borderId="33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/>
    </x:xf>
    <x:xf numFmtId="0" fontId="30" fillId="17" borderId="0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30" fillId="17" borderId="29" xfId="0" applyNumberFormat="1" applyFont="1" applyFill="1" applyBorder="1" applyAlignment="1">
      <x:alignment vertical="center" wrapText="1"/>
    </x:xf>
    <x:xf numFmtId="0" fontId="24" fillId="17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30" fillId="17" borderId="9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30" fillId="17" borderId="32" xfId="0" applyNumberFormat="1" applyFont="1" applyFill="1" applyBorder="1" applyAlignment="1">
      <x:alignment vertical="center" wrapText="1"/>
    </x:xf>
    <x:xf numFmtId="0" fontId="24" fillId="17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horizontal="left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4" fillId="17" borderId="9" xfId="0" applyNumberFormat="1" applyFont="1" applyFill="1" applyBorder="1" applyAlignment="1">
      <x:alignment horizontal="left" vertical="center" wrapText="1"/>
    </x:xf>
    <x:xf numFmtId="0" fontId="0" fillId="17" borderId="9" xfId="0" applyNumberFormat="1" applyFont="1" applyFill="1" applyBorder="1" applyAlignment="1">
      <x:alignment vertical="center" wrapText="1"/>
    </x:xf>
    <x:xf numFmtId="0" fontId="5" fillId="17" borderId="1" xfId="0" applyNumberFormat="1" applyFont="1" applyFill="1" applyBorder="1" applyAlignment="1">
      <x:alignment horizontal="left" vertical="center" wrapText="1"/>
    </x:xf>
    <x:xf numFmtId="0" fontId="6" fillId="17" borderId="1" xfId="0" applyNumberFormat="1" applyFont="1" applyFill="1" applyBorder="1" applyAlignment="1">
      <x:alignment horizontal="left" vertical="center" wrapText="1"/>
    </x:xf>
    <x:xf numFmtId="0" fontId="4" fillId="17" borderId="1" xfId="0" applyNumberFormat="1" applyFont="1" applyFill="1" applyBorder="1" applyAlignment="1">
      <x:alignment horizontal="left" vertical="center" wrapText="1"/>
    </x:xf>
    <x:xf numFmtId="0" fontId="5" fillId="17" borderId="10" xfId="0" applyNumberFormat="1" applyFont="1" applyFill="1" applyBorder="1" applyAlignment="1">
      <x:alignment horizontal="left" vertical="center" wrapText="1"/>
    </x:xf>
    <x:xf numFmtId="0" fontId="6" fillId="17" borderId="10" xfId="0" applyNumberFormat="1" applyFont="1" applyFill="1" applyBorder="1" applyAlignment="1">
      <x:alignment horizontal="left" vertical="center" wrapText="1"/>
    </x:xf>
    <x:xf numFmtId="0" fontId="4" fillId="17" borderId="10" xfId="0" applyNumberFormat="1" applyFont="1" applyFill="1" applyBorder="1" applyAlignment="1">
      <x:alignment horizontal="left" vertical="center" wrapText="1"/>
    </x:xf>
    <x:xf numFmtId="0" fontId="4" fillId="17" borderId="29" xfId="0" applyNumberFormat="1" applyFont="1" applyFill="1" applyBorder="1" applyAlignment="1">
      <x:alignment horizontal="left" vertical="center" wrapText="1"/>
    </x:xf>
    <x:xf numFmtId="0" fontId="24" fillId="17" borderId="29" xfId="0" applyNumberFormat="1" applyFont="1" applyFill="1" applyBorder="1" applyAlignment="1">
      <x:alignment vertical="center" wrapText="1"/>
    </x:xf>
    <x:xf numFmtId="0" fontId="4" fillId="2" borderId="29" xfId="0" applyNumberFormat="1" applyFont="1" applyFill="1" applyBorder="1" applyAlignment="1">
      <x:alignment horizontal="left" vertical="center" wrapText="1"/>
    </x:xf>
    <x:xf numFmtId="0" fontId="2" fillId="0" borderId="19" xfId="0" applyNumberFormat="1" applyFont="1" applyFill="1" applyBorder="1" applyAlignment="1">
      <x:alignment horizontal="left" vertical="center" wrapText="1"/>
    </x:xf>
    <x:xf numFmtId="0" fontId="4" fillId="17" borderId="32" xfId="0" applyNumberFormat="1" applyFont="1" applyFill="1" applyBorder="1" applyAlignment="1">
      <x:alignment horizontal="left" vertical="center" wrapText="1"/>
    </x:xf>
    <x:xf numFmtId="0" fontId="24" fillId="17" borderId="32" xfId="0" applyNumberFormat="1" applyFont="1" applyFill="1" applyBorder="1" applyAlignment="1">
      <x:alignment vertical="center" wrapText="1"/>
    </x:xf>
    <x:xf numFmtId="0" fontId="4" fillId="2" borderId="32" xfId="0" applyNumberFormat="1" applyFont="1" applyFill="1" applyBorder="1" applyAlignment="1">
      <x:alignment horizontal="left" vertical="center" wrapText="1"/>
    </x:xf>
    <x:xf numFmtId="0" fontId="2" fillId="0" borderId="25" xfId="0" applyNumberFormat="1" applyFont="1" applyFill="1" applyBorder="1" applyAlignment="1">
      <x:alignment horizontal="left" vertical="center" wrapText="1"/>
    </x:xf>
    <x:xf numFmtId="0" fontId="28" fillId="17" borderId="0" xfId="0" applyNumberFormat="1" applyFont="1" applyFill="1" applyBorder="1" applyAlignment="1">
      <x:alignment vertical="center"/>
    </x:xf>
    <x:xf numFmtId="0" fontId="37" fillId="17" borderId="0" xfId="0" applyNumberFormat="1" applyFont="1" applyFill="1" applyBorder="1" applyAlignment="1">
      <x:alignment vertical="center"/>
    </x:xf>
    <x:xf numFmtId="0" fontId="28" fillId="17" borderId="9" xfId="0" applyNumberFormat="1" applyFont="1" applyFill="1" applyBorder="1" applyAlignment="1">
      <x:alignment vertical="center"/>
    </x:xf>
    <x:xf numFmtId="0" fontId="37" fillId="17" borderId="9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0" fillId="19" borderId="9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 applyAlignment="1">
      <x:alignment vertical="center"/>
    </x:xf>
    <x:xf numFmtId="0" fontId="0" fillId="18" borderId="9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20" borderId="9" xfId="0" applyNumberFormat="1" applyFont="1" applyFill="1" applyBorder="1" applyAlignment="1">
      <x:alignment vertical="center"/>
    </x:xf>
    <x:xf numFmtId="0" fontId="37" fillId="17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833C0C"/>
      </x:font>
      <x:fill>
        <x:patternFill>
          <x:bgColor rgb="FFF8CBAD"/>
        </x:patternFill>
      </x:fill>
    </x:dxf>
    <x:dxf>
      <x:font>
        <x:b/>
        <x:color rgb="FF833C0C"/>
      </x:font>
      <x:fill>
        <x:patternFill>
          <x:bgColor rgb="FFF8CBAD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ont>
        <x:b/>
        <x:color rgb="FF833C0C"/>
      </x:font>
      <x:fill>
        <x:patternFill>
          <x:bgColor rgb="FFF8CBAD"/>
        </x:patternFill>
      </x:fill>
    </x:dxf>
    <x:dxf>
      <x:font>
        <x:b/>
        <x:color rgb="FF833C0C"/>
      </x:font>
      <x:fill>
        <x:patternFill>
          <x:bgColor rgb="FFF8CBAD"/>
        </x:patternFill>
      </x:fill>
    </x:dxf>
    <x:dxf>
      <x:font>
        <x:b/>
        <x:color rgb="FFC94C4C"/>
      </x:font>
      <x:fill>
        <x:patternFill patternType="solid">
          <x:bgColor rgb="FFFCE8E8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2E8B57"/>
      </x:font>
      <x:fill>
        <x:patternFill patternType="solid">
          <x:bgColor rgb="FFE8F5EE"/>
        </x:patternFill>
      </x:fill>
    </x:dxf>
    <x:dxf>
      <x:font>
        <x:b/>
        <x:color rgb="FF2E8B57"/>
      </x:font>
      <x:fill>
        <x:patternFill patternType="solid">
          <x:bgColor rgb="FFE8F5EE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C94C4C"/>
      </x:font>
      <x:fill>
        <x:patternFill patternType="solid">
          <x:bgColor rgb="FFFCE8E8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F6000"/>
      <x:rgbColor rgb="FF800080"/>
      <x:rgbColor rgb="FF008080"/>
      <x:rgbColor rgb="FFBFBFBF"/>
      <x:rgbColor rgb="FF808080"/>
      <x:rgbColor rgb="FF9999FF"/>
      <x:rgbColor rgb="FF993366"/>
      <x:rgbColor rgb="FFFFF2CC"/>
      <x:rgbColor rgb="FFD9E2F3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6E0B4"/>
      <x:rgbColor rgb="FFE2EFDA"/>
      <x:rgbColor rgb="FFFFE699"/>
      <x:rgbColor rgb="FF99CCFF"/>
      <x:rgbColor rgb="FFFCE4D6"/>
      <x:rgbColor rgb="FFCC99FF"/>
      <x:rgbColor rgb="FFF8CBAD"/>
      <x:rgbColor rgb="FF3366FF"/>
      <x:rgbColor rgb="FF33CCCC"/>
      <x:rgbColor rgb="FF99CC00"/>
      <x:rgbColor rgb="FFFFCC00"/>
      <x:rgbColor rgb="FFFF9900"/>
      <x:rgbColor rgb="FFC55A11"/>
      <x:rgbColor rgb="FF2E5E8E"/>
      <x:rgbColor rgb="FFA6A6A6"/>
      <x:rgbColor rgb="FF1F3864"/>
      <x:rgbColor rgb="FF548235"/>
      <x:rgbColor rgb="FF003300"/>
      <x:rgbColor rgb="FF385723"/>
      <x:rgbColor rgb="FF833C0C"/>
      <x:rgbColor rgb="FF993366"/>
      <x:rgbColor rgb="FF333399"/>
      <x:rgbColor rgb="FF37562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8e0c993a146ae" /><Relationship Type="http://schemas.openxmlformats.org/officeDocument/2006/relationships/theme" Target="/xl/theme/theme1.xml" Id="R3ebe4ad83f824393" /><Relationship Type="http://schemas.openxmlformats.org/officeDocument/2006/relationships/sharedStrings" Target="/xl/sharedStrings.xml" Id="Rf9c721a414504796" /><Relationship Type="http://schemas.openxmlformats.org/officeDocument/2006/relationships/worksheet" Target="/xl/worksheets/sheet1.xml" Id="Rfd84231d6a2146b8" /><Relationship Type="http://schemas.openxmlformats.org/officeDocument/2006/relationships/worksheet" Target="/xl/worksheets/sheet2.xml" Id="Rcb63e44b07ce444a" /><Relationship Type="http://schemas.openxmlformats.org/officeDocument/2006/relationships/worksheet" Target="/xl/worksheets/sheet3.xml" Id="R034433fe8d8545e4" /><Relationship Type="http://schemas.openxmlformats.org/officeDocument/2006/relationships/worksheet" Target="/xl/worksheets/sheet4.xml" Id="R1795790ade3e48c0" /><Relationship Type="http://schemas.openxmlformats.org/officeDocument/2006/relationships/worksheet" Target="/xl/worksheets/sheet5.xml" Id="R5f48a368b9394c16" /><Relationship Type="http://schemas.openxmlformats.org/officeDocument/2006/relationships/worksheet" Target="/xl/worksheets/sheet6.xml" Id="R0146a2714711461f" /><Relationship Type="http://schemas.openxmlformats.org/officeDocument/2006/relationships/worksheet" Target="/xl/worksheets/sheet7.xml" Id="R894d1d8a7f934b04" /><Relationship Type="http://schemas.openxmlformats.org/officeDocument/2006/relationships/worksheet" Target="/xl/worksheets/sheet8.xml" Id="Ra594d75e04384d19" /><Relationship Type="http://schemas.openxmlformats.org/officeDocument/2006/relationships/worksheet" Target="/xl/worksheets/sheet9.xml" Id="R6fe80078c1f24c74" /><Relationship Type="http://schemas.openxmlformats.org/officeDocument/2006/relationships/worksheet" Target="/xl/worksheets/sheet10.xml" Id="Re1aead626d7841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8140e3ebb74e3a" /><Relationship Type="http://schemas.openxmlformats.org/officeDocument/2006/relationships/chart" Target="/xl/drawings/charts/chart2.xml" Id="Rfd365250429148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Ocorrências por prioridade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'Painel'!$P$3:$P$5</c:f>
              <c:strCache>
                <c:ptCount val="0"/>
              </c:strCache>
            </c:strRef>
          </c:cat>
          <c:val>
            <c:numRef>
              <c:f>'Painel'!$Q$3:$Q$5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Situação das garantias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'Painel'!$P$9:$P$11</c:f>
              <c:strCache>
                <c:ptCount val="0"/>
              </c:strCache>
            </c:strRef>
          </c:cat>
          <c:val>
            <c:numRef>
              <c:f>'Painel'!$Q$9:$Q$11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13</xdr:row>
      <xdr:rowOff>0</xdr:rowOff>
    </xdr:from>
    <xdr:to>
      <xdr:col>23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8140e3ebb74e3a"/>
        </a:graphicData>
      </a:graphic>
    </xdr:graphicFrame>
    <xdr:clientData/>
  </xdr:twoCellAnchor>
  <xdr:twoCellAnchor>
    <xdr:from>
      <xdr:col>15</xdr:col>
      <xdr:colOff>0</xdr:colOff>
      <xdr:row>29</xdr:row>
      <xdr:rowOff>0</xdr:rowOff>
    </xdr:from>
    <xdr:to>
      <xdr:col>23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365250429148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887a3d380d74d9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8" hidden="0" customWidth="1"/>
    <x:col min="3" max="3" width="28" hidden="0" customWidth="1"/>
    <x:col min="4" max="4" width="17" hidden="0" customWidth="1"/>
    <x:col min="5" max="5" width="17" hidden="0" customWidth="1"/>
    <x:col min="6" max="6" width="17" hidden="0" customWidth="1"/>
    <x:col min="7" max="8" width="14" customWidth="1"/>
    <x:col min="9" max="9" width="17" hidden="0" customWidth="1"/>
    <x:col min="10" max="10" width="17" hidden="0" customWidth="1"/>
    <x:col min="11" max="11" width="17" hidden="0" customWidth="1"/>
    <x:col min="12" max="13" width="34" customWidth="1"/>
    <x:col min="7" max="7" width="17" hidden="0" customWidth="1"/>
    <x:col min="8" max="8" width="17" hidden="0" customWidth="1"/>
    <x:col min="12" max="12" width="30" hidden="0" customWidth="1"/>
    <x:col min="13" max="13" width="20" hidden="0" customWidth="1"/>
  </x:cols>
  <x:sheetData>
    <x:row r="1" ht="20.25" customHeight="1">
      <x:c r="A1" s="148" t="s">
        <x:v>0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31.899999618530273" customHeight="1">
      <x:c r="A2" s="154" t="s">
        <x:v>1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31.899999618530273" customHeight="1">
      <x:c r="A4" s="252" t="s">
        <x:v>2</x:v>
      </x:c>
      <x:c r="B4" s="252" t="s">
        <x:v>3</x:v>
      </x:c>
      <x:c r="C4" s="252" t="s">
        <x:v>4</x:v>
      </x:c>
      <x:c r="D4" s="252" t="s">
        <x:v>5</x:v>
      </x:c>
      <x:c r="E4" s="252" t="s">
        <x:v>6</x:v>
      </x:c>
      <x:c r="F4" s="252" t="s">
        <x:v>7</x:v>
      </x:c>
      <x:c r="G4" s="252" t="s">
        <x:v>8</x:v>
      </x:c>
      <x:c r="H4" s="252" t="s">
        <x:v>9</x:v>
      </x:c>
      <x:c r="I4" s="252" t="s">
        <x:v>10</x:v>
      </x:c>
      <x:c r="J4" s="252" t="s">
        <x:v>11</x:v>
      </x:c>
      <x:c r="K4" s="252" t="s">
        <x:v>12</x:v>
      </x:c>
      <x:c r="L4" s="252" t="s">
        <x:v>13</x:v>
      </x:c>
      <x:c r="M4" s="252" t="s">
        <x:v>14</x:v>
      </x:c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26.100000381469727" customHeight="1">
      <x:c r="A5" s="162" t="s">
        <x:v>15</x:v>
      </x:c>
      <x:c r="B5" s="255"/>
      <x:c r="C5" s="255"/>
      <x:c r="D5" s="261"/>
      <x:c r="E5" s="261"/>
      <x:c r="F5" s="262" t="str">
        <x:f t="shared" ref="F5:F19" si="0">IF($E5="","",IF($E5&gt;DATE(2022,12,12)+180,"NBR 17170:2022","Regime anterior — Anexo D da NBR 15575"))</x:f>
      </x:c>
      <x:c r="G5" s="261"/>
      <x:c r="H5" s="265" t="str">
        <x:f t="shared" ref="H5:H19" si="1">IF(OR($D5="",$G5=""),"",($G5-$D5)/365.25)</x:f>
      </x:c>
      <x:c r="I5" s="259"/>
      <x:c r="J5" s="259"/>
      <x:c r="K5" s="259"/>
      <x:c r="L5" s="255"/>
      <x:c r="M5" s="165" t="str">
        <x:f t="shared" ref="M5:M19" si="2">IF(OR($D5="",$G5=""),"",IF($G5&lt;$D5,"ATENÇÃO: data da vistoria é anterior ao habite-se","OK"))</x:f>
      </x:c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26.100000381469727" customHeight="1">
      <x:c r="A6" s="162" t="s">
        <x:v>16</x:v>
      </x:c>
      <x:c r="B6" s="255"/>
      <x:c r="C6" s="255"/>
      <x:c r="D6" s="261"/>
      <x:c r="E6" s="261"/>
      <x:c r="F6" s="262" t="str">
        <x:f t="shared" si="0"/>
      </x:c>
      <x:c r="G6" s="261"/>
      <x:c r="H6" s="265" t="str">
        <x:f t="shared" si="1"/>
      </x:c>
      <x:c r="I6" s="259"/>
      <x:c r="J6" s="259"/>
      <x:c r="K6" s="259"/>
      <x:c r="L6" s="255"/>
      <x:c r="M6" s="165" t="str">
        <x:f t="shared" si="2"/>
      </x:c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26.100000381469727" customHeight="1">
      <x:c r="A7" s="162" t="s">
        <x:v>17</x:v>
      </x:c>
      <x:c r="B7" s="255"/>
      <x:c r="C7" s="255"/>
      <x:c r="D7" s="261"/>
      <x:c r="E7" s="261"/>
      <x:c r="F7" s="262" t="str">
        <x:f t="shared" si="0"/>
      </x:c>
      <x:c r="G7" s="261"/>
      <x:c r="H7" s="265" t="str">
        <x:f t="shared" si="1"/>
      </x:c>
      <x:c r="I7" s="259"/>
      <x:c r="J7" s="259"/>
      <x:c r="K7" s="259"/>
      <x:c r="L7" s="255"/>
      <x:c r="M7" s="165" t="str">
        <x:f t="shared" si="2"/>
      </x:c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26.100000381469727" customHeight="1">
      <x:c r="A8" s="162" t="s">
        <x:v>18</x:v>
      </x:c>
      <x:c r="B8" s="255"/>
      <x:c r="C8" s="255"/>
      <x:c r="D8" s="261"/>
      <x:c r="E8" s="261"/>
      <x:c r="F8" s="262" t="str">
        <x:f t="shared" si="0"/>
      </x:c>
      <x:c r="G8" s="261"/>
      <x:c r="H8" s="265" t="str">
        <x:f t="shared" si="1"/>
      </x:c>
      <x:c r="I8" s="259"/>
      <x:c r="J8" s="259"/>
      <x:c r="K8" s="259"/>
      <x:c r="L8" s="255"/>
      <x:c r="M8" s="165" t="str">
        <x:f t="shared" si="2"/>
      </x:c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26.100000381469727" customHeight="1">
      <x:c r="A9" s="162" t="s">
        <x:v>19</x:v>
      </x:c>
      <x:c r="B9" s="255"/>
      <x:c r="C9" s="255"/>
      <x:c r="D9" s="261"/>
      <x:c r="E9" s="261"/>
      <x:c r="F9" s="262" t="str">
        <x:f t="shared" si="0"/>
      </x:c>
      <x:c r="G9" s="261"/>
      <x:c r="H9" s="265" t="str">
        <x:f t="shared" si="1"/>
      </x:c>
      <x:c r="I9" s="259"/>
      <x:c r="J9" s="259"/>
      <x:c r="K9" s="259"/>
      <x:c r="L9" s="255"/>
      <x:c r="M9" s="165" t="str">
        <x:f t="shared" si="2"/>
      </x:c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26.100000381469727" customHeight="1">
      <x:c r="A10" s="162" t="s">
        <x:v>20</x:v>
      </x:c>
      <x:c r="B10" s="255"/>
      <x:c r="C10" s="255"/>
      <x:c r="D10" s="261"/>
      <x:c r="E10" s="261"/>
      <x:c r="F10" s="262" t="str">
        <x:f t="shared" si="0"/>
      </x:c>
      <x:c r="G10" s="261"/>
      <x:c r="H10" s="265" t="str">
        <x:f t="shared" si="1"/>
      </x:c>
      <x:c r="I10" s="259"/>
      <x:c r="J10" s="259"/>
      <x:c r="K10" s="259"/>
      <x:c r="L10" s="255"/>
      <x:c r="M10" s="165" t="str">
        <x:f t="shared" si="2"/>
      </x:c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26.100000381469727" customHeight="1">
      <x:c r="A11" s="162" t="s">
        <x:v>21</x:v>
      </x:c>
      <x:c r="B11" s="255"/>
      <x:c r="C11" s="255"/>
      <x:c r="D11" s="261"/>
      <x:c r="E11" s="261"/>
      <x:c r="F11" s="262" t="str">
        <x:f t="shared" si="0"/>
      </x:c>
      <x:c r="G11" s="261"/>
      <x:c r="H11" s="265" t="str">
        <x:f t="shared" si="1"/>
      </x:c>
      <x:c r="I11" s="259"/>
      <x:c r="J11" s="259"/>
      <x:c r="K11" s="259"/>
      <x:c r="L11" s="255"/>
      <x:c r="M11" s="165" t="str">
        <x:f t="shared" si="2"/>
      </x:c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26.100000381469727" customHeight="1">
      <x:c r="A12" s="162" t="s">
        <x:v>22</x:v>
      </x:c>
      <x:c r="B12" s="255"/>
      <x:c r="C12" s="255"/>
      <x:c r="D12" s="261"/>
      <x:c r="E12" s="261"/>
      <x:c r="F12" s="262" t="str">
        <x:f t="shared" si="0"/>
      </x:c>
      <x:c r="G12" s="261"/>
      <x:c r="H12" s="265" t="str">
        <x:f t="shared" si="1"/>
      </x:c>
      <x:c r="I12" s="259"/>
      <x:c r="J12" s="259"/>
      <x:c r="K12" s="259"/>
      <x:c r="L12" s="255"/>
      <x:c r="M12" s="165" t="str">
        <x:f t="shared" si="2"/>
      </x:c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26.100000381469727" customHeight="1">
      <x:c r="A13" s="162" t="s">
        <x:v>23</x:v>
      </x:c>
      <x:c r="B13" s="255"/>
      <x:c r="C13" s="255"/>
      <x:c r="D13" s="261"/>
      <x:c r="E13" s="261"/>
      <x:c r="F13" s="262" t="str">
        <x:f t="shared" si="0"/>
      </x:c>
      <x:c r="G13" s="261"/>
      <x:c r="H13" s="265" t="str">
        <x:f t="shared" si="1"/>
      </x:c>
      <x:c r="I13" s="259"/>
      <x:c r="J13" s="259"/>
      <x:c r="K13" s="259"/>
      <x:c r="L13" s="255"/>
      <x:c r="M13" s="165" t="str">
        <x:f t="shared" si="2"/>
      </x:c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26.100000381469727" customHeight="1">
      <x:c r="A14" s="162" t="s">
        <x:v>24</x:v>
      </x:c>
      <x:c r="B14" s="255"/>
      <x:c r="C14" s="255"/>
      <x:c r="D14" s="261"/>
      <x:c r="E14" s="261"/>
      <x:c r="F14" s="262" t="str">
        <x:f t="shared" si="0"/>
      </x:c>
      <x:c r="G14" s="261"/>
      <x:c r="H14" s="265" t="str">
        <x:f t="shared" si="1"/>
      </x:c>
      <x:c r="I14" s="259"/>
      <x:c r="J14" s="259"/>
      <x:c r="K14" s="259"/>
      <x:c r="L14" s="255"/>
      <x:c r="M14" s="165" t="str">
        <x:f t="shared" si="2"/>
      </x:c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26.100000381469727" customHeight="1">
      <x:c r="A15" s="162" t="s">
        <x:v>25</x:v>
      </x:c>
      <x:c r="B15" s="255"/>
      <x:c r="C15" s="255"/>
      <x:c r="D15" s="261"/>
      <x:c r="E15" s="261"/>
      <x:c r="F15" s="262" t="str">
        <x:f t="shared" si="0"/>
      </x:c>
      <x:c r="G15" s="261"/>
      <x:c r="H15" s="265" t="str">
        <x:f t="shared" si="1"/>
      </x:c>
      <x:c r="I15" s="259"/>
      <x:c r="J15" s="259"/>
      <x:c r="K15" s="259"/>
      <x:c r="L15" s="255"/>
      <x:c r="M15" s="165" t="str">
        <x:f t="shared" si="2"/>
      </x:c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26.100000381469727" customHeight="1">
      <x:c r="A16" s="162" t="s">
        <x:v>26</x:v>
      </x:c>
      <x:c r="B16" s="255"/>
      <x:c r="C16" s="255"/>
      <x:c r="D16" s="261"/>
      <x:c r="E16" s="261"/>
      <x:c r="F16" s="262" t="str">
        <x:f t="shared" si="0"/>
      </x:c>
      <x:c r="G16" s="261"/>
      <x:c r="H16" s="265" t="str">
        <x:f t="shared" si="1"/>
      </x:c>
      <x:c r="I16" s="259"/>
      <x:c r="J16" s="259"/>
      <x:c r="K16" s="259"/>
      <x:c r="L16" s="255"/>
      <x:c r="M16" s="165" t="str">
        <x:f t="shared" si="2"/>
      </x:c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26.100000381469727" customHeight="1">
      <x:c r="A17" s="162" t="s">
        <x:v>27</x:v>
      </x:c>
      <x:c r="B17" s="255"/>
      <x:c r="C17" s="255"/>
      <x:c r="D17" s="261"/>
      <x:c r="E17" s="261"/>
      <x:c r="F17" s="262" t="str">
        <x:f t="shared" si="0"/>
      </x:c>
      <x:c r="G17" s="261"/>
      <x:c r="H17" s="265" t="str">
        <x:f t="shared" si="1"/>
      </x:c>
      <x:c r="I17" s="259"/>
      <x:c r="J17" s="259"/>
      <x:c r="K17" s="259"/>
      <x:c r="L17" s="255"/>
      <x:c r="M17" s="165" t="str">
        <x:f t="shared" si="2"/>
      </x:c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26.100000381469727" customHeight="1">
      <x:c r="A18" s="162" t="s">
        <x:v>28</x:v>
      </x:c>
      <x:c r="B18" s="255"/>
      <x:c r="C18" s="255"/>
      <x:c r="D18" s="261"/>
      <x:c r="E18" s="261"/>
      <x:c r="F18" s="262" t="str">
        <x:f t="shared" si="0"/>
      </x:c>
      <x:c r="G18" s="261"/>
      <x:c r="H18" s="265" t="str">
        <x:f t="shared" si="1"/>
      </x:c>
      <x:c r="I18" s="259"/>
      <x:c r="J18" s="259"/>
      <x:c r="K18" s="259"/>
      <x:c r="L18" s="255"/>
      <x:c r="M18" s="165" t="str">
        <x:f t="shared" si="2"/>
      </x:c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26.100000381469727" customHeight="1">
      <x:c r="A19" s="162" t="s">
        <x:v>29</x:v>
      </x:c>
      <x:c r="B19" s="255"/>
      <x:c r="C19" s="255"/>
      <x:c r="D19" s="261"/>
      <x:c r="E19" s="261"/>
      <x:c r="F19" s="262" t="str">
        <x:f t="shared" si="0"/>
      </x:c>
      <x:c r="G19" s="261"/>
      <x:c r="H19" s="265" t="str">
        <x:f t="shared" si="1"/>
      </x:c>
      <x:c r="I19" s="259"/>
      <x:c r="J19" s="259"/>
      <x:c r="K19" s="259"/>
      <x:c r="L19" s="255"/>
      <x:c r="M19" s="165" t="str">
        <x:f t="shared" si="2"/>
      </x:c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31.899999618530273" customHeight="1">
      <x:c r="A21" s="168" t="s">
        <x:v>30</x:v>
      </x:c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A2:M2"/>
    <x:mergeCell ref="A21:M21"/>
    <x:mergeCell ref="A1:M1"/>
  </x:mergeCells>
  <x:conditionalFormatting sqref="M5:M19">
    <x:cfRule type="expression" dxfId="5" priority="1">
      <x:formula>LEFT($M5,7)="ATENÇÃO"</x:formula>
    </x:cfRule>
  </x:conditionalFormatting>
  <x:dataValidations count="1">
    <x:dataValidation type="list" allowBlank="1" sqref="I5:K19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2" hidden="0" customWidth="1"/>
    <x:col min="4" max="4" width="25" hidden="0" customWidth="1"/>
    <x:col min="5" max="5" width="42" hidden="0" customWidth="1"/>
    <x:col min="6" max="6" width="18" hidden="0" customWidth="1"/>
    <x:col min="7" max="7" width="28" hidden="0" customWidth="1"/>
    <x:col min="8" max="8" width="13" hidden="0" customWidth="1"/>
    <x:col min="9" max="9" width="45" hidden="0" customWidth="1"/>
  </x:cols>
  <x:sheetData>
    <x:row r="1" ht="20.25" customHeight="1">
      <x:c r="A1" s="148" t="s">
        <x:v>31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31.899999618530273" customHeight="1">
      <x:c r="A2" s="154" t="s">
        <x:v>32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31.899999618530273" customHeight="1">
      <x:c r="A4" s="252" t="s">
        <x:v>33</x:v>
      </x:c>
      <x:c r="B4" s="252" t="s">
        <x:v>34</x:v>
      </x:c>
      <x:c r="C4" s="252" t="s">
        <x:v>35</x:v>
      </x:c>
      <x:c r="D4" s="252" t="s">
        <x:v>36</x:v>
      </x:c>
      <x:c r="E4" s="252" t="s">
        <x:v>37</x:v>
      </x:c>
      <x:c r="F4" s="252" t="s">
        <x:v>38</x:v>
      </x:c>
      <x:c r="G4" s="252" t="s">
        <x:v>39</x:v>
      </x:c>
      <x:c r="H4" s="252" t="s">
        <x:v>40</x:v>
      </x:c>
      <x:c r="I4" s="252" t="s">
        <x:v>41</x:v>
      </x:c>
      <x:c r="J4" s="160"/>
      <x:c r="K4" s="160"/>
      <x:c r="L4" s="160"/>
      <x:c r="M4" s="160"/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44.650001525878906" customHeight="1">
      <x:c r="A5" s="162" t="s">
        <x:v>42</x:v>
      </x:c>
      <x:c r="B5" s="174" t="s">
        <x:v>43</x:v>
      </x:c>
      <x:c r="C5" s="175" t="s">
        <x:v>44</x:v>
      </x:c>
      <x:c r="D5" s="175" t="s">
        <x:v>45</x:v>
      </x:c>
      <x:c r="E5" s="175" t="s">
        <x:v>46</x:v>
      </x:c>
      <x:c r="F5" s="176" t="s">
        <x:v>47</x:v>
      </x:c>
      <x:c r="G5" s="175" t="s">
        <x:v>48</x:v>
      </x:c>
      <x:c r="H5" s="177">
        <x:v>3</x:v>
      </x:c>
      <x:c r="I5" s="175" t="s">
        <x:v>49</x:v>
      </x:c>
      <x:c r="J5" s="160"/>
      <x:c r="K5" s="160"/>
      <x:c r="L5" s="160"/>
      <x:c r="M5" s="160"/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44.650001525878906" customHeight="1">
      <x:c r="A6" s="162" t="s">
        <x:v>50</x:v>
      </x:c>
      <x:c r="B6" s="174" t="s">
        <x:v>43</x:v>
      </x:c>
      <x:c r="C6" s="175" t="s">
        <x:v>51</x:v>
      </x:c>
      <x:c r="D6" s="175" t="s">
        <x:v>45</x:v>
      </x:c>
      <x:c r="E6" s="175" t="s">
        <x:v>52</x:v>
      </x:c>
      <x:c r="F6" s="176" t="s">
        <x:v>47</x:v>
      </x:c>
      <x:c r="G6" s="175" t="s">
        <x:v>48</x:v>
      </x:c>
      <x:c r="H6" s="177">
        <x:v>3</x:v>
      </x:c>
      <x:c r="I6" s="175" t="s">
        <x:v>53</x:v>
      </x:c>
      <x:c r="J6" s="160"/>
      <x:c r="K6" s="160"/>
      <x:c r="L6" s="160"/>
      <x:c r="M6" s="160"/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44.650001525878906" customHeight="1">
      <x:c r="A7" s="162" t="s">
        <x:v>54</x:v>
      </x:c>
      <x:c r="B7" s="174" t="s">
        <x:v>43</x:v>
      </x:c>
      <x:c r="C7" s="175" t="s">
        <x:v>55</x:v>
      </x:c>
      <x:c r="D7" s="175" t="s">
        <x:v>45</x:v>
      </x:c>
      <x:c r="E7" s="175" t="s">
        <x:v>56</x:v>
      </x:c>
      <x:c r="F7" s="176" t="s">
        <x:v>57</x:v>
      </x:c>
      <x:c r="G7" s="175" t="s">
        <x:v>48</x:v>
      </x:c>
      <x:c r="H7" s="177">
        <x:v>3</x:v>
      </x:c>
      <x:c r="I7" s="175" t="s">
        <x:v>58</x:v>
      </x:c>
      <x:c r="J7" s="160"/>
      <x:c r="K7" s="160"/>
      <x:c r="L7" s="160"/>
      <x:c r="M7" s="160"/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31.899999618530273" customHeight="1">
      <x:c r="A8" s="162" t="s">
        <x:v>59</x:v>
      </x:c>
      <x:c r="B8" s="174" t="s">
        <x:v>43</x:v>
      </x:c>
      <x:c r="C8" s="175" t="s">
        <x:v>60</x:v>
      </x:c>
      <x:c r="D8" s="175" t="s">
        <x:v>61</x:v>
      </x:c>
      <x:c r="E8" s="175" t="s">
        <x:v>62</x:v>
      </x:c>
      <x:c r="F8" s="176" t="s">
        <x:v>47</x:v>
      </x:c>
      <x:c r="G8" s="175" t="s">
        <x:v>63</x:v>
      </x:c>
      <x:c r="H8" s="177"/>
      <x:c r="I8" s="175" t="s">
        <x:v>64</x:v>
      </x:c>
      <x:c r="J8" s="160"/>
      <x:c r="K8" s="160"/>
      <x:c r="L8" s="160"/>
      <x:c r="M8" s="160"/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44.650001525878906" customHeight="1">
      <x:c r="A9" s="162" t="s">
        <x:v>65</x:v>
      </x:c>
      <x:c r="B9" s="174" t="s">
        <x:v>43</x:v>
      </x:c>
      <x:c r="C9" s="175" t="s">
        <x:v>66</x:v>
      </x:c>
      <x:c r="D9" s="175" t="s">
        <x:v>45</x:v>
      </x:c>
      <x:c r="E9" s="175" t="s">
        <x:v>67</x:v>
      </x:c>
      <x:c r="F9" s="176" t="s">
        <x:v>47</x:v>
      </x:c>
      <x:c r="G9" s="175" t="s">
        <x:v>68</x:v>
      </x:c>
      <x:c r="H9" s="177">
        <x:v>1</x:v>
      </x:c>
      <x:c r="I9" s="175" t="s">
        <x:v>69</x:v>
      </x:c>
      <x:c r="J9" s="160"/>
      <x:c r="K9" s="160"/>
      <x:c r="L9" s="160"/>
      <x:c r="M9" s="160"/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31.899999618530273" customHeight="1">
      <x:c r="A10" s="162" t="s">
        <x:v>70</x:v>
      </x:c>
      <x:c r="B10" s="174" t="s">
        <x:v>43</x:v>
      </x:c>
      <x:c r="C10" s="175" t="s">
        <x:v>71</x:v>
      </x:c>
      <x:c r="D10" s="175" t="s">
        <x:v>45</x:v>
      </x:c>
      <x:c r="E10" s="175" t="s">
        <x:v>72</x:v>
      </x:c>
      <x:c r="F10" s="176" t="s">
        <x:v>47</x:v>
      </x:c>
      <x:c r="G10" s="175" t="s">
        <x:v>73</x:v>
      </x:c>
      <x:c r="H10" s="177">
        <x:v>3</x:v>
      </x:c>
      <x:c r="I10" s="175" t="s">
        <x:v>74</x:v>
      </x:c>
      <x:c r="J10" s="160"/>
      <x:c r="K10" s="160"/>
      <x:c r="L10" s="160"/>
      <x:c r="M10" s="160"/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31.899999618530273" customHeight="1">
      <x:c r="A11" s="162" t="s">
        <x:v>75</x:v>
      </x:c>
      <x:c r="B11" s="174" t="s">
        <x:v>43</x:v>
      </x:c>
      <x:c r="C11" s="175" t="s">
        <x:v>76</x:v>
      </x:c>
      <x:c r="D11" s="175" t="s">
        <x:v>77</x:v>
      </x:c>
      <x:c r="E11" s="175" t="s">
        <x:v>78</x:v>
      </x:c>
      <x:c r="F11" s="176" t="s">
        <x:v>47</x:v>
      </x:c>
      <x:c r="G11" s="175" t="s">
        <x:v>79</x:v>
      </x:c>
      <x:c r="H11" s="177">
        <x:v>1</x:v>
      </x:c>
      <x:c r="I11" s="175"/>
      <x:c r="J11" s="160"/>
      <x:c r="K11" s="160"/>
      <x:c r="L11" s="160"/>
      <x:c r="M11" s="160"/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31.899999618530273" customHeight="1">
      <x:c r="A12" s="162" t="s">
        <x:v>80</x:v>
      </x:c>
      <x:c r="B12" s="174" t="s">
        <x:v>43</x:v>
      </x:c>
      <x:c r="C12" s="175" t="s">
        <x:v>81</x:v>
      </x:c>
      <x:c r="D12" s="175" t="s">
        <x:v>45</x:v>
      </x:c>
      <x:c r="E12" s="175" t="s">
        <x:v>82</x:v>
      </x:c>
      <x:c r="F12" s="176" t="s">
        <x:v>47</x:v>
      </x:c>
      <x:c r="G12" s="175" t="s">
        <x:v>83</x:v>
      </x:c>
      <x:c r="H12" s="177">
        <x:v>1</x:v>
      </x:c>
      <x:c r="I12" s="175" t="s">
        <x:v>84</x:v>
      </x:c>
      <x:c r="J12" s="160"/>
      <x:c r="K12" s="160"/>
      <x:c r="L12" s="160"/>
      <x:c r="M12" s="160"/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57.599998474121094" customHeight="1">
      <x:c r="A13" s="162" t="s">
        <x:v>85</x:v>
      </x:c>
      <x:c r="B13" s="174" t="s">
        <x:v>86</x:v>
      </x:c>
      <x:c r="C13" s="175" t="s">
        <x:v>87</x:v>
      </x:c>
      <x:c r="D13" s="175" t="s">
        <x:v>45</x:v>
      </x:c>
      <x:c r="E13" s="175" t="s">
        <x:v>88</x:v>
      </x:c>
      <x:c r="F13" s="176" t="s">
        <x:v>47</x:v>
      </x:c>
      <x:c r="G13" s="175" t="s">
        <x:v>89</x:v>
      </x:c>
      <x:c r="H13" s="177">
        <x:v>5</x:v>
      </x:c>
      <x:c r="I13" s="175" t="s">
        <x:v>90</x:v>
      </x:c>
      <x:c r="J13" s="160"/>
      <x:c r="K13" s="160"/>
      <x:c r="L13" s="160"/>
      <x:c r="M13" s="160"/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31.899999618530273" customHeight="1">
      <x:c r="A14" s="162" t="s">
        <x:v>91</x:v>
      </x:c>
      <x:c r="B14" s="174" t="s">
        <x:v>86</x:v>
      </x:c>
      <x:c r="C14" s="175" t="s">
        <x:v>92</x:v>
      </x:c>
      <x:c r="D14" s="175" t="s">
        <x:v>45</x:v>
      </x:c>
      <x:c r="E14" s="175" t="s">
        <x:v>93</x:v>
      </x:c>
      <x:c r="F14" s="176" t="s">
        <x:v>57</x:v>
      </x:c>
      <x:c r="G14" s="175" t="s">
        <x:v>89</x:v>
      </x:c>
      <x:c r="H14" s="177">
        <x:v>5</x:v>
      </x:c>
      <x:c r="I14" s="175" t="s">
        <x:v>94</x:v>
      </x:c>
      <x:c r="J14" s="160"/>
      <x:c r="K14" s="160"/>
      <x:c r="L14" s="160"/>
      <x:c r="M14" s="160"/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31.899999618530273" customHeight="1">
      <x:c r="A15" s="162" t="s">
        <x:v>95</x:v>
      </x:c>
      <x:c r="B15" s="174" t="s">
        <x:v>86</x:v>
      </x:c>
      <x:c r="C15" s="175" t="s">
        <x:v>96</x:v>
      </x:c>
      <x:c r="D15" s="175" t="s">
        <x:v>45</x:v>
      </x:c>
      <x:c r="E15" s="175" t="s">
        <x:v>97</x:v>
      </x:c>
      <x:c r="F15" s="176" t="s">
        <x:v>57</x:v>
      </x:c>
      <x:c r="G15" s="175" t="s">
        <x:v>89</x:v>
      </x:c>
      <x:c r="H15" s="177">
        <x:v>5</x:v>
      </x:c>
      <x:c r="I15" s="175" t="s">
        <x:v>98</x:v>
      </x:c>
      <x:c r="J15" s="160"/>
      <x:c r="K15" s="160"/>
      <x:c r="L15" s="160"/>
      <x:c r="M15" s="160"/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31.899999618530273" customHeight="1">
      <x:c r="A16" s="162" t="s">
        <x:v>99</x:v>
      </x:c>
      <x:c r="B16" s="174" t="s">
        <x:v>86</x:v>
      </x:c>
      <x:c r="C16" s="175" t="s">
        <x:v>100</x:v>
      </x:c>
      <x:c r="D16" s="175" t="s">
        <x:v>45</x:v>
      </x:c>
      <x:c r="E16" s="175" t="s">
        <x:v>101</x:v>
      </x:c>
      <x:c r="F16" s="176" t="s">
        <x:v>47</x:v>
      </x:c>
      <x:c r="G16" s="175" t="s">
        <x:v>89</x:v>
      </x:c>
      <x:c r="H16" s="177">
        <x:v>5</x:v>
      </x:c>
      <x:c r="I16" s="175"/>
      <x:c r="J16" s="160"/>
      <x:c r="K16" s="160"/>
      <x:c r="L16" s="160"/>
      <x:c r="M16" s="160"/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31.899999618530273" customHeight="1">
      <x:c r="A17" s="162" t="s">
        <x:v>102</x:v>
      </x:c>
      <x:c r="B17" s="174" t="s">
        <x:v>86</x:v>
      </x:c>
      <x:c r="C17" s="175" t="s">
        <x:v>103</x:v>
      </x:c>
      <x:c r="D17" s="175" t="s">
        <x:v>45</x:v>
      </x:c>
      <x:c r="E17" s="175" t="s">
        <x:v>104</x:v>
      </x:c>
      <x:c r="F17" s="176" t="s">
        <x:v>47</x:v>
      </x:c>
      <x:c r="G17" s="175" t="s">
        <x:v>89</x:v>
      </x:c>
      <x:c r="H17" s="177">
        <x:v>5</x:v>
      </x:c>
      <x:c r="I17" s="175"/>
      <x:c r="J17" s="160"/>
      <x:c r="K17" s="160"/>
      <x:c r="L17" s="160"/>
      <x:c r="M17" s="160"/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31.899999618530273" customHeight="1">
      <x:c r="A18" s="162" t="s">
        <x:v>105</x:v>
      </x:c>
      <x:c r="B18" s="174" t="s">
        <x:v>86</x:v>
      </x:c>
      <x:c r="C18" s="175" t="s">
        <x:v>106</x:v>
      </x:c>
      <x:c r="D18" s="175" t="s">
        <x:v>45</x:v>
      </x:c>
      <x:c r="E18" s="175" t="s">
        <x:v>107</x:v>
      </x:c>
      <x:c r="F18" s="176" t="s">
        <x:v>47</x:v>
      </x:c>
      <x:c r="G18" s="175" t="s">
        <x:v>89</x:v>
      </x:c>
      <x:c r="H18" s="177">
        <x:v>5</x:v>
      </x:c>
      <x:c r="I18" s="175" t="s">
        <x:v>108</x:v>
      </x:c>
      <x:c r="J18" s="160"/>
      <x:c r="K18" s="160"/>
      <x:c r="L18" s="160"/>
      <x:c r="M18" s="160"/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31.899999618530273" customHeight="1">
      <x:c r="A19" s="162" t="s">
        <x:v>109</x:v>
      </x:c>
      <x:c r="B19" s="174" t="s">
        <x:v>86</x:v>
      </x:c>
      <x:c r="C19" s="175" t="s">
        <x:v>110</x:v>
      </x:c>
      <x:c r="D19" s="175" t="s">
        <x:v>45</x:v>
      </x:c>
      <x:c r="E19" s="175" t="s">
        <x:v>111</x:v>
      </x:c>
      <x:c r="F19" s="176" t="s">
        <x:v>47</x:v>
      </x:c>
      <x:c r="G19" s="175" t="s">
        <x:v>89</x:v>
      </x:c>
      <x:c r="H19" s="177">
        <x:v>5</x:v>
      </x:c>
      <x:c r="I19" s="175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31.899999618530273" customHeight="1">
      <x:c r="A20" s="162" t="s">
        <x:v>112</x:v>
      </x:c>
      <x:c r="B20" s="174" t="s">
        <x:v>86</x:v>
      </x:c>
      <x:c r="C20" s="175" t="s">
        <x:v>113</x:v>
      </x:c>
      <x:c r="D20" s="175" t="s">
        <x:v>45</x:v>
      </x:c>
      <x:c r="E20" s="175" t="s">
        <x:v>114</x:v>
      </x:c>
      <x:c r="F20" s="176" t="s">
        <x:v>47</x:v>
      </x:c>
      <x:c r="G20" s="175" t="s">
        <x:v>89</x:v>
      </x:c>
      <x:c r="H20" s="177">
        <x:v>5</x:v>
      </x:c>
      <x:c r="I20" s="175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44.650001525878906" customHeight="1">
      <x:c r="A21" s="162" t="s">
        <x:v>115</x:v>
      </x:c>
      <x:c r="B21" s="174" t="s">
        <x:v>116</x:v>
      </x:c>
      <x:c r="C21" s="175" t="s">
        <x:v>117</x:v>
      </x:c>
      <x:c r="D21" s="175" t="s">
        <x:v>45</x:v>
      </x:c>
      <x:c r="E21" s="175" t="s">
        <x:v>118</x:v>
      </x:c>
      <x:c r="F21" s="176" t="s">
        <x:v>47</x:v>
      </x:c>
      <x:c r="G21" s="175" t="s">
        <x:v>119</x:v>
      </x:c>
      <x:c r="H21" s="177">
        <x:v>5</x:v>
      </x:c>
      <x:c r="I21" s="175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31.899999618530273" customHeight="1">
      <x:c r="A22" s="162" t="s">
        <x:v>120</x:v>
      </x:c>
      <x:c r="B22" s="174" t="s">
        <x:v>116</x:v>
      </x:c>
      <x:c r="C22" s="175" t="s">
        <x:v>121</x:v>
      </x:c>
      <x:c r="D22" s="175" t="s">
        <x:v>45</x:v>
      </x:c>
      <x:c r="E22" s="175" t="s">
        <x:v>122</x:v>
      </x:c>
      <x:c r="F22" s="176" t="s">
        <x:v>47</x:v>
      </x:c>
      <x:c r="G22" s="175" t="s">
        <x:v>123</x:v>
      </x:c>
      <x:c r="H22" s="177">
        <x:v>5</x:v>
      </x:c>
      <x:c r="I22" s="175" t="s">
        <x:v>124</x:v>
      </x:c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 ht="31.899999618530273" customHeight="1">
      <x:c r="A23" s="162" t="s">
        <x:v>125</x:v>
      </x:c>
      <x:c r="B23" s="174" t="s">
        <x:v>116</x:v>
      </x:c>
      <x:c r="C23" s="175" t="s">
        <x:v>126</x:v>
      </x:c>
      <x:c r="D23" s="175" t="s">
        <x:v>45</x:v>
      </x:c>
      <x:c r="E23" s="175" t="s">
        <x:v>127</x:v>
      </x:c>
      <x:c r="F23" s="176" t="s">
        <x:v>47</x:v>
      </x:c>
      <x:c r="G23" s="175" t="s">
        <x:v>128</x:v>
      </x:c>
      <x:c r="H23" s="177">
        <x:v>3</x:v>
      </x:c>
      <x:c r="I23" s="175" t="s">
        <x:v>129</x:v>
      </x:c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31.899999618530273" customHeight="1">
      <x:c r="A24" s="162" t="s">
        <x:v>130</x:v>
      </x:c>
      <x:c r="B24" s="174" t="s">
        <x:v>116</x:v>
      </x:c>
      <x:c r="C24" s="175" t="s">
        <x:v>131</x:v>
      </x:c>
      <x:c r="D24" s="175" t="s">
        <x:v>45</x:v>
      </x:c>
      <x:c r="E24" s="175" t="s">
        <x:v>132</x:v>
      </x:c>
      <x:c r="F24" s="176" t="s">
        <x:v>47</x:v>
      </x:c>
      <x:c r="G24" s="175" t="s">
        <x:v>133</x:v>
      </x:c>
      <x:c r="H24" s="177">
        <x:v>5</x:v>
      </x:c>
      <x:c r="I24" s="175" t="s">
        <x:v>134</x:v>
      </x:c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31.899999618530273" customHeight="1">
      <x:c r="A25" s="162" t="s">
        <x:v>135</x:v>
      </x:c>
      <x:c r="B25" s="174" t="s">
        <x:v>136</x:v>
      </x:c>
      <x:c r="C25" s="175" t="s">
        <x:v>137</x:v>
      </x:c>
      <x:c r="D25" s="175" t="s">
        <x:v>45</x:v>
      </x:c>
      <x:c r="E25" s="175" t="s">
        <x:v>138</x:v>
      </x:c>
      <x:c r="F25" s="176" t="s">
        <x:v>47</x:v>
      </x:c>
      <x:c r="G25" s="175" t="s">
        <x:v>139</x:v>
      </x:c>
      <x:c r="H25" s="177">
        <x:v>5</x:v>
      </x:c>
      <x:c r="I25" s="175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31.899999618530273" customHeight="1">
      <x:c r="A26" s="162" t="s">
        <x:v>140</x:v>
      </x:c>
      <x:c r="B26" s="174" t="s">
        <x:v>136</x:v>
      </x:c>
      <x:c r="C26" s="175" t="s">
        <x:v>141</x:v>
      </x:c>
      <x:c r="D26" s="175" t="s">
        <x:v>45</x:v>
      </x:c>
      <x:c r="E26" s="175" t="s">
        <x:v>142</x:v>
      </x:c>
      <x:c r="F26" s="176" t="s">
        <x:v>47</x:v>
      </x:c>
      <x:c r="G26" s="175" t="s">
        <x:v>139</x:v>
      </x:c>
      <x:c r="H26" s="177">
        <x:v>5</x:v>
      </x:c>
      <x:c r="I26" s="175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31.899999618530273" customHeight="1">
      <x:c r="A27" s="162" t="s">
        <x:v>143</x:v>
      </x:c>
      <x:c r="B27" s="174" t="s">
        <x:v>136</x:v>
      </x:c>
      <x:c r="C27" s="175" t="s">
        <x:v>144</x:v>
      </x:c>
      <x:c r="D27" s="175" t="s">
        <x:v>45</x:v>
      </x:c>
      <x:c r="E27" s="175" t="s">
        <x:v>145</x:v>
      </x:c>
      <x:c r="F27" s="176" t="s">
        <x:v>57</x:v>
      </x:c>
      <x:c r="G27" s="175" t="s">
        <x:v>139</x:v>
      </x:c>
      <x:c r="H27" s="177">
        <x:v>5</x:v>
      </x:c>
      <x:c r="I27" s="175" t="s">
        <x:v>146</x:v>
      </x:c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31.899999618530273" customHeight="1">
      <x:c r="A28" s="162" t="s">
        <x:v>147</x:v>
      </x:c>
      <x:c r="B28" s="174" t="s">
        <x:v>136</x:v>
      </x:c>
      <x:c r="C28" s="175" t="s">
        <x:v>148</x:v>
      </x:c>
      <x:c r="D28" s="175" t="s">
        <x:v>45</x:v>
      </x:c>
      <x:c r="E28" s="175" t="s">
        <x:v>149</x:v>
      </x:c>
      <x:c r="F28" s="176" t="s">
        <x:v>47</x:v>
      </x:c>
      <x:c r="G28" s="175" t="s">
        <x:v>139</x:v>
      </x:c>
      <x:c r="H28" s="177">
        <x:v>5</x:v>
      </x:c>
      <x:c r="I28" s="175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44.650001525878906" customHeight="1">
      <x:c r="A29" s="162" t="s">
        <x:v>150</x:v>
      </x:c>
      <x:c r="B29" s="174" t="s">
        <x:v>136</x:v>
      </x:c>
      <x:c r="C29" s="175" t="s">
        <x:v>151</x:v>
      </x:c>
      <x:c r="D29" s="175" t="s">
        <x:v>45</x:v>
      </x:c>
      <x:c r="E29" s="175" t="s">
        <x:v>152</x:v>
      </x:c>
      <x:c r="F29" s="176" t="s">
        <x:v>57</x:v>
      </x:c>
      <x:c r="G29" s="175" t="s">
        <x:v>153</x:v>
      </x:c>
      <x:c r="H29" s="177">
        <x:v>3</x:v>
      </x:c>
      <x:c r="I29" s="175" t="s">
        <x:v>154</x:v>
      </x:c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 ht="31.899999618530273" customHeight="1">
      <x:c r="A30" s="162" t="s">
        <x:v>155</x:v>
      </x:c>
      <x:c r="B30" s="174" t="s">
        <x:v>136</x:v>
      </x:c>
      <x:c r="C30" s="175" t="s">
        <x:v>156</x:v>
      </x:c>
      <x:c r="D30" s="175" t="s">
        <x:v>45</x:v>
      </x:c>
      <x:c r="E30" s="175" t="s">
        <x:v>157</x:v>
      </x:c>
      <x:c r="F30" s="176" t="s">
        <x:v>47</x:v>
      </x:c>
      <x:c r="G30" s="175" t="s">
        <x:v>158</x:v>
      </x:c>
      <x:c r="H30" s="177">
        <x:v>5</x:v>
      </x:c>
      <x:c r="I30" s="175" t="s">
        <x:v>159</x:v>
      </x:c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44.650001525878906" customHeight="1">
      <x:c r="A31" s="162" t="s">
        <x:v>160</x:v>
      </x:c>
      <x:c r="B31" s="174" t="s">
        <x:v>136</x:v>
      </x:c>
      <x:c r="C31" s="175" t="s">
        <x:v>161</x:v>
      </x:c>
      <x:c r="D31" s="175" t="s">
        <x:v>45</x:v>
      </x:c>
      <x:c r="E31" s="175" t="s">
        <x:v>162</x:v>
      </x:c>
      <x:c r="F31" s="176" t="s">
        <x:v>47</x:v>
      </x:c>
      <x:c r="G31" s="175" t="s">
        <x:v>133</x:v>
      </x:c>
      <x:c r="H31" s="177">
        <x:v>5</x:v>
      </x:c>
      <x:c r="I31" s="175" t="s">
        <x:v>163</x:v>
      </x:c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 ht="44.650001525878906" customHeight="1">
      <x:c r="A32" s="162" t="s">
        <x:v>164</x:v>
      </x:c>
      <x:c r="B32" s="174" t="s">
        <x:v>136</x:v>
      </x:c>
      <x:c r="C32" s="175" t="s">
        <x:v>165</x:v>
      </x:c>
      <x:c r="D32" s="175" t="s">
        <x:v>77</x:v>
      </x:c>
      <x:c r="E32" s="175" t="s">
        <x:v>166</x:v>
      </x:c>
      <x:c r="F32" s="176" t="s">
        <x:v>47</x:v>
      </x:c>
      <x:c r="G32" s="175" t="s">
        <x:v>167</x:v>
      </x:c>
      <x:c r="H32" s="177">
        <x:v>1</x:v>
      </x:c>
      <x:c r="I32" s="175" t="s">
        <x:v>168</x:v>
      </x:c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 ht="44.650001525878906" customHeight="1">
      <x:c r="A33" s="162" t="s">
        <x:v>169</x:v>
      </x:c>
      <x:c r="B33" s="174" t="s">
        <x:v>136</x:v>
      </x:c>
      <x:c r="C33" s="175" t="s">
        <x:v>170</x:v>
      </x:c>
      <x:c r="D33" s="175" t="s">
        <x:v>45</x:v>
      </x:c>
      <x:c r="E33" s="175" t="s">
        <x:v>171</x:v>
      </x:c>
      <x:c r="F33" s="176" t="s">
        <x:v>47</x:v>
      </x:c>
      <x:c r="G33" s="175" t="s">
        <x:v>172</x:v>
      </x:c>
      <x:c r="H33" s="177">
        <x:v>1</x:v>
      </x:c>
      <x:c r="I33" s="175" t="s">
        <x:v>173</x:v>
      </x:c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 ht="31.899999618530273" customHeight="1">
      <x:c r="A34" s="162" t="s">
        <x:v>174</x:v>
      </x:c>
      <x:c r="B34" s="174" t="s">
        <x:v>175</x:v>
      </x:c>
      <x:c r="C34" s="175" t="s">
        <x:v>176</x:v>
      </x:c>
      <x:c r="D34" s="175" t="s">
        <x:v>45</x:v>
      </x:c>
      <x:c r="E34" s="175" t="s">
        <x:v>177</x:v>
      </x:c>
      <x:c r="F34" s="176" t="s">
        <x:v>47</x:v>
      </x:c>
      <x:c r="G34" s="175" t="s">
        <x:v>178</x:v>
      </x:c>
      <x:c r="H34" s="177">
        <x:v>5</x:v>
      </x:c>
      <x:c r="I34" s="175" t="s">
        <x:v>179</x:v>
      </x:c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 ht="44.650001525878906" customHeight="1">
      <x:c r="A35" s="162" t="s">
        <x:v>180</x:v>
      </x:c>
      <x:c r="B35" s="174" t="s">
        <x:v>175</x:v>
      </x:c>
      <x:c r="C35" s="175" t="s">
        <x:v>181</x:v>
      </x:c>
      <x:c r="D35" s="175" t="s">
        <x:v>45</x:v>
      </x:c>
      <x:c r="E35" s="175" t="s">
        <x:v>182</x:v>
      </x:c>
      <x:c r="F35" s="176" t="s">
        <x:v>47</x:v>
      </x:c>
      <x:c r="G35" s="175" t="s">
        <x:v>178</x:v>
      </x:c>
      <x:c r="H35" s="177">
        <x:v>5</x:v>
      </x:c>
      <x:c r="I35" s="175" t="s">
        <x:v>183</x:v>
      </x:c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 ht="44.650001525878906" customHeight="1">
      <x:c r="A36" s="162" t="s">
        <x:v>184</x:v>
      </x:c>
      <x:c r="B36" s="174" t="s">
        <x:v>175</x:v>
      </x:c>
      <x:c r="C36" s="175" t="s">
        <x:v>185</x:v>
      </x:c>
      <x:c r="D36" s="175" t="s">
        <x:v>45</x:v>
      </x:c>
      <x:c r="E36" s="175" t="s">
        <x:v>186</x:v>
      </x:c>
      <x:c r="F36" s="176" t="s">
        <x:v>47</x:v>
      </x:c>
      <x:c r="G36" s="175" t="s">
        <x:v>187</x:v>
      </x:c>
      <x:c r="H36" s="177">
        <x:v>3</x:v>
      </x:c>
      <x:c r="I36" s="175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 ht="31.899999618530273" customHeight="1">
      <x:c r="A37" s="162" t="s">
        <x:v>188</x:v>
      </x:c>
      <x:c r="B37" s="174" t="s">
        <x:v>175</x:v>
      </x:c>
      <x:c r="C37" s="175" t="s">
        <x:v>189</x:v>
      </x:c>
      <x:c r="D37" s="175" t="s">
        <x:v>45</x:v>
      </x:c>
      <x:c r="E37" s="175" t="s">
        <x:v>190</x:v>
      </x:c>
      <x:c r="F37" s="176" t="s">
        <x:v>47</x:v>
      </x:c>
      <x:c r="G37" s="175" t="s">
        <x:v>191</x:v>
      </x:c>
      <x:c r="H37" s="177">
        <x:v>1</x:v>
      </x:c>
      <x:c r="I37" s="175" t="s">
        <x:v>192</x:v>
      </x:c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 ht="44.650001525878906" customHeight="1">
      <x:c r="A38" s="162" t="s">
        <x:v>193</x:v>
      </x:c>
      <x:c r="B38" s="174" t="s">
        <x:v>175</x:v>
      </x:c>
      <x:c r="C38" s="175" t="s">
        <x:v>194</x:v>
      </x:c>
      <x:c r="D38" s="175" t="s">
        <x:v>45</x:v>
      </x:c>
      <x:c r="E38" s="175" t="s">
        <x:v>195</x:v>
      </x:c>
      <x:c r="F38" s="176" t="s">
        <x:v>57</x:v>
      </x:c>
      <x:c r="G38" s="175" t="s">
        <x:v>196</x:v>
      </x:c>
      <x:c r="H38" s="177">
        <x:v>1</x:v>
      </x:c>
      <x:c r="I38" s="175" t="s">
        <x:v>197</x:v>
      </x:c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 ht="31.899999618530273" customHeight="1">
      <x:c r="A39" s="162" t="s">
        <x:v>198</x:v>
      </x:c>
      <x:c r="B39" s="174" t="s">
        <x:v>175</x:v>
      </x:c>
      <x:c r="C39" s="175" t="s">
        <x:v>170</x:v>
      </x:c>
      <x:c r="D39" s="175" t="s">
        <x:v>45</x:v>
      </x:c>
      <x:c r="E39" s="175" t="s">
        <x:v>199</x:v>
      </x:c>
      <x:c r="F39" s="176" t="s">
        <x:v>47</x:v>
      </x:c>
      <x:c r="G39" s="175" t="s">
        <x:v>172</x:v>
      </x:c>
      <x:c r="H39" s="177">
        <x:v>1</x:v>
      </x:c>
      <x:c r="I39" s="175" t="s">
        <x:v>200</x:v>
      </x:c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 ht="44.650001525878906" customHeight="1">
      <x:c r="A40" s="162" t="s">
        <x:v>201</x:v>
      </x:c>
      <x:c r="B40" s="174" t="s">
        <x:v>175</x:v>
      </x:c>
      <x:c r="C40" s="175" t="s">
        <x:v>202</x:v>
      </x:c>
      <x:c r="D40" s="175" t="s">
        <x:v>45</x:v>
      </x:c>
      <x:c r="E40" s="175" t="s">
        <x:v>203</x:v>
      </x:c>
      <x:c r="F40" s="176" t="s">
        <x:v>47</x:v>
      </x:c>
      <x:c r="G40" s="175" t="s">
        <x:v>133</x:v>
      </x:c>
      <x:c r="H40" s="177">
        <x:v>5</x:v>
      </x:c>
      <x:c r="I40" s="175" t="s">
        <x:v>204</x:v>
      </x:c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 ht="31.899999618530273" customHeight="1">
      <x:c r="A41" s="162" t="s">
        <x:v>205</x:v>
      </x:c>
      <x:c r="B41" s="174" t="s">
        <x:v>175</x:v>
      </x:c>
      <x:c r="C41" s="175" t="s">
        <x:v>206</x:v>
      </x:c>
      <x:c r="D41" s="175" t="s">
        <x:v>45</x:v>
      </x:c>
      <x:c r="E41" s="175" t="s">
        <x:v>207</x:v>
      </x:c>
      <x:c r="F41" s="176" t="s">
        <x:v>47</x:v>
      </x:c>
      <x:c r="G41" s="175" t="s">
        <x:v>208</x:v>
      </x:c>
      <x:c r="H41" s="177">
        <x:v>1</x:v>
      </x:c>
      <x:c r="I41" s="175" t="s">
        <x:v>209</x:v>
      </x:c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 ht="44.650001525878906" customHeight="1">
      <x:c r="A42" s="162" t="s">
        <x:v>210</x:v>
      </x:c>
      <x:c r="B42" s="174" t="s">
        <x:v>175</x:v>
      </x:c>
      <x:c r="C42" s="175" t="s">
        <x:v>211</x:v>
      </x:c>
      <x:c r="D42" s="175" t="s">
        <x:v>45</x:v>
      </x:c>
      <x:c r="E42" s="175" t="s">
        <x:v>212</x:v>
      </x:c>
      <x:c r="F42" s="176" t="s">
        <x:v>57</x:v>
      </x:c>
      <x:c r="G42" s="175" t="s">
        <x:v>213</x:v>
      </x:c>
      <x:c r="H42" s="177"/>
      <x:c r="I42" s="175" t="s">
        <x:v>214</x:v>
      </x:c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 ht="31.899999618530273" customHeight="1">
      <x:c r="A43" s="162" t="s">
        <x:v>215</x:v>
      </x:c>
      <x:c r="B43" s="174" t="s">
        <x:v>216</x:v>
      </x:c>
      <x:c r="C43" s="175" t="s">
        <x:v>217</x:v>
      </x:c>
      <x:c r="D43" s="175" t="s">
        <x:v>77</x:v>
      </x:c>
      <x:c r="E43" s="175" t="s">
        <x:v>218</x:v>
      </x:c>
      <x:c r="F43" s="176" t="s">
        <x:v>47</x:v>
      </x:c>
      <x:c r="G43" s="175" t="s">
        <x:v>219</x:v>
      </x:c>
      <x:c r="H43" s="177">
        <x:v>3</x:v>
      </x:c>
      <x:c r="I43" s="175" t="s">
        <x:v>220</x:v>
      </x:c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 ht="31.899999618530273" customHeight="1">
      <x:c r="A44" s="162" t="s">
        <x:v>221</x:v>
      </x:c>
      <x:c r="B44" s="174" t="s">
        <x:v>216</x:v>
      </x:c>
      <x:c r="C44" s="175" t="s">
        <x:v>222</x:v>
      </x:c>
      <x:c r="D44" s="175" t="s">
        <x:v>45</x:v>
      </x:c>
      <x:c r="E44" s="175" t="s">
        <x:v>223</x:v>
      </x:c>
      <x:c r="F44" s="176" t="s">
        <x:v>47</x:v>
      </x:c>
      <x:c r="G44" s="175" t="s">
        <x:v>219</x:v>
      </x:c>
      <x:c r="H44" s="177">
        <x:v>3</x:v>
      </x:c>
      <x:c r="I44" s="175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 ht="31.899999618530273" customHeight="1">
      <x:c r="A45" s="162" t="s">
        <x:v>224</x:v>
      </x:c>
      <x:c r="B45" s="174" t="s">
        <x:v>216</x:v>
      </x:c>
      <x:c r="C45" s="175" t="s">
        <x:v>225</x:v>
      </x:c>
      <x:c r="D45" s="175" t="s">
        <x:v>45</x:v>
      </x:c>
      <x:c r="E45" s="175" t="s">
        <x:v>226</x:v>
      </x:c>
      <x:c r="F45" s="176" t="s">
        <x:v>47</x:v>
      </x:c>
      <x:c r="G45" s="175" t="s">
        <x:v>227</x:v>
      </x:c>
      <x:c r="H45" s="177">
        <x:v>3</x:v>
      </x:c>
      <x:c r="I45" s="175" t="s">
        <x:v>228</x:v>
      </x:c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 ht="31.899999618530273" customHeight="1">
      <x:c r="A46" s="162" t="s">
        <x:v>229</x:v>
      </x:c>
      <x:c r="B46" s="174" t="s">
        <x:v>216</x:v>
      </x:c>
      <x:c r="C46" s="175" t="s">
        <x:v>230</x:v>
      </x:c>
      <x:c r="D46" s="175" t="s">
        <x:v>45</x:v>
      </x:c>
      <x:c r="E46" s="175" t="s">
        <x:v>231</x:v>
      </x:c>
      <x:c r="F46" s="176" t="s">
        <x:v>47</x:v>
      </x:c>
      <x:c r="G46" s="175" t="s">
        <x:v>232</x:v>
      </x:c>
      <x:c r="H46" s="177">
        <x:v>3</x:v>
      </x:c>
      <x:c r="I46" s="175" t="s">
        <x:v>228</x:v>
      </x:c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 ht="44.650001525878906" customHeight="1">
      <x:c r="A47" s="162" t="s">
        <x:v>233</x:v>
      </x:c>
      <x:c r="B47" s="174" t="s">
        <x:v>216</x:v>
      </x:c>
      <x:c r="C47" s="175" t="s">
        <x:v>234</x:v>
      </x:c>
      <x:c r="D47" s="175" t="s">
        <x:v>45</x:v>
      </x:c>
      <x:c r="E47" s="175" t="s">
        <x:v>235</x:v>
      </x:c>
      <x:c r="F47" s="176" t="s">
        <x:v>47</x:v>
      </x:c>
      <x:c r="G47" s="175" t="s">
        <x:v>236</x:v>
      </x:c>
      <x:c r="H47" s="177">
        <x:v>3</x:v>
      </x:c>
      <x:c r="I47" s="175" t="s">
        <x:v>237</x:v>
      </x:c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 ht="31.899999618530273" customHeight="1">
      <x:c r="A48" s="162" t="s">
        <x:v>238</x:v>
      </x:c>
      <x:c r="B48" s="174" t="s">
        <x:v>216</x:v>
      </x:c>
      <x:c r="C48" s="175" t="s">
        <x:v>239</x:v>
      </x:c>
      <x:c r="D48" s="175" t="s">
        <x:v>45</x:v>
      </x:c>
      <x:c r="E48" s="175" t="s">
        <x:v>240</x:v>
      </x:c>
      <x:c r="F48" s="176" t="s">
        <x:v>47</x:v>
      </x:c>
      <x:c r="G48" s="175" t="s">
        <x:v>219</x:v>
      </x:c>
      <x:c r="H48" s="177">
        <x:v>3</x:v>
      </x:c>
      <x:c r="I48" s="175" t="s">
        <x:v>241</x:v>
      </x:c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 ht="44.650001525878906" customHeight="1">
      <x:c r="A49" s="162" t="s">
        <x:v>242</x:v>
      </x:c>
      <x:c r="B49" s="174" t="s">
        <x:v>216</x:v>
      </x:c>
      <x:c r="C49" s="175" t="s">
        <x:v>243</x:v>
      </x:c>
      <x:c r="D49" s="175" t="s">
        <x:v>45</x:v>
      </x:c>
      <x:c r="E49" s="175" t="s">
        <x:v>244</x:v>
      </x:c>
      <x:c r="F49" s="176" t="s">
        <x:v>47</x:v>
      </x:c>
      <x:c r="G49" s="175" t="s">
        <x:v>245</x:v>
      </x:c>
      <x:c r="H49" s="177">
        <x:v>3</x:v>
      </x:c>
      <x:c r="I49" s="175" t="s">
        <x:v>228</x:v>
      </x:c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 ht="31.899999618530273" customHeight="1">
      <x:c r="A50" s="162" t="s">
        <x:v>246</x:v>
      </x:c>
      <x:c r="B50" s="174" t="s">
        <x:v>216</x:v>
      </x:c>
      <x:c r="C50" s="175" t="s">
        <x:v>247</x:v>
      </x:c>
      <x:c r="D50" s="175" t="s">
        <x:v>77</x:v>
      </x:c>
      <x:c r="E50" s="175" t="s">
        <x:v>248</x:v>
      </x:c>
      <x:c r="F50" s="176" t="s">
        <x:v>47</x:v>
      </x:c>
      <x:c r="G50" s="175" t="s">
        <x:v>249</x:v>
      </x:c>
      <x:c r="H50" s="177">
        <x:v>1</x:v>
      </x:c>
      <x:c r="I50" s="175" t="s">
        <x:v>250</x:v>
      </x:c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 ht="31.899999618530273" customHeight="1">
      <x:c r="A51" s="162" t="s">
        <x:v>251</x:v>
      </x:c>
      <x:c r="B51" s="174" t="s">
        <x:v>252</x:v>
      </x:c>
      <x:c r="C51" s="175" t="s">
        <x:v>253</x:v>
      </x:c>
      <x:c r="D51" s="175" t="s">
        <x:v>45</x:v>
      </x:c>
      <x:c r="E51" s="175" t="s">
        <x:v>254</x:v>
      </x:c>
      <x:c r="F51" s="176" t="s">
        <x:v>47</x:v>
      </x:c>
      <x:c r="G51" s="175" t="s">
        <x:v>255</x:v>
      </x:c>
      <x:c r="H51" s="177">
        <x:v>3</x:v>
      </x:c>
      <x:c r="I51" s="175" t="s">
        <x:v>256</x:v>
      </x:c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 ht="31.899999618530273" customHeight="1">
      <x:c r="A52" s="162" t="s">
        <x:v>257</x:v>
      </x:c>
      <x:c r="B52" s="174" t="s">
        <x:v>252</x:v>
      </x:c>
      <x:c r="C52" s="175" t="s">
        <x:v>258</x:v>
      </x:c>
      <x:c r="D52" s="175" t="s">
        <x:v>77</x:v>
      </x:c>
      <x:c r="E52" s="175" t="s">
        <x:v>259</x:v>
      </x:c>
      <x:c r="F52" s="176" t="s">
        <x:v>47</x:v>
      </x:c>
      <x:c r="G52" s="175" t="s">
        <x:v>260</x:v>
      </x:c>
      <x:c r="H52" s="177">
        <x:v>1</x:v>
      </x:c>
      <x:c r="I52" s="175" t="s">
        <x:v>261</x:v>
      </x:c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 ht="31.899999618530273" customHeight="1">
      <x:c r="A53" s="162" t="s">
        <x:v>262</x:v>
      </x:c>
      <x:c r="B53" s="174" t="s">
        <x:v>252</x:v>
      </x:c>
      <x:c r="C53" s="175" t="s">
        <x:v>263</x:v>
      </x:c>
      <x:c r="D53" s="175" t="s">
        <x:v>45</x:v>
      </x:c>
      <x:c r="E53" s="175" t="s">
        <x:v>264</x:v>
      </x:c>
      <x:c r="F53" s="176" t="s">
        <x:v>47</x:v>
      </x:c>
      <x:c r="G53" s="175" t="s">
        <x:v>255</x:v>
      </x:c>
      <x:c r="H53" s="177">
        <x:v>3</x:v>
      </x:c>
      <x:c r="I53" s="175" t="s">
        <x:v>265</x:v>
      </x:c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 ht="31.899999618530273" customHeight="1">
      <x:c r="A54" s="162" t="s">
        <x:v>266</x:v>
      </x:c>
      <x:c r="B54" s="174" t="s">
        <x:v>252</x:v>
      </x:c>
      <x:c r="C54" s="175" t="s">
        <x:v>267</x:v>
      </x:c>
      <x:c r="D54" s="175" t="s">
        <x:v>45</x:v>
      </x:c>
      <x:c r="E54" s="175" t="s">
        <x:v>268</x:v>
      </x:c>
      <x:c r="F54" s="176" t="s">
        <x:v>47</x:v>
      </x:c>
      <x:c r="G54" s="175" t="s">
        <x:v>255</x:v>
      </x:c>
      <x:c r="H54" s="177">
        <x:v>3</x:v>
      </x:c>
      <x:c r="I54" s="175" t="s">
        <x:v>269</x:v>
      </x:c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 ht="31.899999618530273" customHeight="1">
      <x:c r="A55" s="162" t="s">
        <x:v>270</x:v>
      </x:c>
      <x:c r="B55" s="174" t="s">
        <x:v>252</x:v>
      </x:c>
      <x:c r="C55" s="175" t="s">
        <x:v>271</x:v>
      </x:c>
      <x:c r="D55" s="175" t="s">
        <x:v>45</x:v>
      </x:c>
      <x:c r="E55" s="175" t="s">
        <x:v>272</x:v>
      </x:c>
      <x:c r="F55" s="176" t="s">
        <x:v>47</x:v>
      </x:c>
      <x:c r="G55" s="175" t="s">
        <x:v>255</x:v>
      </x:c>
      <x:c r="H55" s="177">
        <x:v>3</x:v>
      </x:c>
      <x:c r="I55" s="175" t="s">
        <x:v>273</x:v>
      </x:c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 ht="44.650001525878906" customHeight="1">
      <x:c r="A56" s="162" t="s">
        <x:v>274</x:v>
      </x:c>
      <x:c r="B56" s="174" t="s">
        <x:v>252</x:v>
      </x:c>
      <x:c r="C56" s="175" t="s">
        <x:v>275</x:v>
      </x:c>
      <x:c r="D56" s="175" t="s">
        <x:v>45</x:v>
      </x:c>
      <x:c r="E56" s="175" t="s">
        <x:v>276</x:v>
      </x:c>
      <x:c r="F56" s="176" t="s">
        <x:v>47</x:v>
      </x:c>
      <x:c r="G56" s="175" t="s">
        <x:v>277</x:v>
      </x:c>
      <x:c r="H56" s="177">
        <x:v>1</x:v>
      </x:c>
      <x:c r="I56" s="175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 ht="44.650001525878906" customHeight="1">
      <x:c r="A57" s="162" t="s">
        <x:v>278</x:v>
      </x:c>
      <x:c r="B57" s="174" t="s">
        <x:v>252</x:v>
      </x:c>
      <x:c r="C57" s="175" t="s">
        <x:v>279</x:v>
      </x:c>
      <x:c r="D57" s="175" t="s">
        <x:v>45</x:v>
      </x:c>
      <x:c r="E57" s="175" t="s">
        <x:v>280</x:v>
      </x:c>
      <x:c r="F57" s="176" t="s">
        <x:v>57</x:v>
      </x:c>
      <x:c r="G57" s="175" t="s">
        <x:v>281</x:v>
      </x:c>
      <x:c r="H57" s="177">
        <x:v>3</x:v>
      </x:c>
      <x:c r="I57" s="175" t="s">
        <x:v>282</x:v>
      </x:c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 ht="44.650001525878906" customHeight="1">
      <x:c r="A58" s="162" t="s">
        <x:v>283</x:v>
      </x:c>
      <x:c r="B58" s="174" t="s">
        <x:v>252</x:v>
      </x:c>
      <x:c r="C58" s="175" t="s">
        <x:v>284</x:v>
      </x:c>
      <x:c r="D58" s="175" t="s">
        <x:v>45</x:v>
      </x:c>
      <x:c r="E58" s="175" t="s">
        <x:v>285</x:v>
      </x:c>
      <x:c r="F58" s="176" t="s">
        <x:v>57</x:v>
      </x:c>
      <x:c r="G58" s="175" t="s">
        <x:v>133</x:v>
      </x:c>
      <x:c r="H58" s="177">
        <x:v>5</x:v>
      </x:c>
      <x:c r="I58" s="175" t="s">
        <x:v>286</x:v>
      </x:c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 ht="31.899999618530273" customHeight="1">
      <x:c r="A59" s="162" t="s">
        <x:v>287</x:v>
      </x:c>
      <x:c r="B59" s="174" t="s">
        <x:v>288</x:v>
      </x:c>
      <x:c r="C59" s="175" t="s">
        <x:v>289</x:v>
      </x:c>
      <x:c r="D59" s="175" t="s">
        <x:v>45</x:v>
      </x:c>
      <x:c r="E59" s="175" t="s">
        <x:v>290</x:v>
      </x:c>
      <x:c r="F59" s="176" t="s">
        <x:v>47</x:v>
      </x:c>
      <x:c r="G59" s="175" t="s">
        <x:v>291</x:v>
      </x:c>
      <x:c r="H59" s="177">
        <x:v>3</x:v>
      </x:c>
      <x:c r="I59" s="175" t="s">
        <x:v>292</x:v>
      </x:c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 ht="31.899999618530273" customHeight="1">
      <x:c r="A60" s="162" t="s">
        <x:v>293</x:v>
      </x:c>
      <x:c r="B60" s="174" t="s">
        <x:v>288</x:v>
      </x:c>
      <x:c r="C60" s="175" t="s">
        <x:v>294</x:v>
      </x:c>
      <x:c r="D60" s="175" t="s">
        <x:v>45</x:v>
      </x:c>
      <x:c r="E60" s="175" t="s">
        <x:v>295</x:v>
      </x:c>
      <x:c r="F60" s="176" t="s">
        <x:v>47</x:v>
      </x:c>
      <x:c r="G60" s="175" t="s">
        <x:v>296</x:v>
      </x:c>
      <x:c r="H60" s="177">
        <x:v>1</x:v>
      </x:c>
      <x:c r="I60" s="175" t="s">
        <x:v>297</x:v>
      </x:c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 ht="31.899999618530273" customHeight="1">
      <x:c r="A61" s="162" t="s">
        <x:v>298</x:v>
      </x:c>
      <x:c r="B61" s="174" t="s">
        <x:v>288</x:v>
      </x:c>
      <x:c r="C61" s="175" t="s">
        <x:v>299</x:v>
      </x:c>
      <x:c r="D61" s="175" t="s">
        <x:v>45</x:v>
      </x:c>
      <x:c r="E61" s="175" t="s">
        <x:v>300</x:v>
      </x:c>
      <x:c r="F61" s="176" t="s">
        <x:v>57</x:v>
      </x:c>
      <x:c r="G61" s="175" t="s">
        <x:v>296</x:v>
      </x:c>
      <x:c r="H61" s="177">
        <x:v>1</x:v>
      </x:c>
      <x:c r="I61" s="175" t="s">
        <x:v>301</x:v>
      </x:c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 ht="31.899999618530273" customHeight="1">
      <x:c r="A62" s="162" t="s">
        <x:v>302</x:v>
      </x:c>
      <x:c r="B62" s="174" t="s">
        <x:v>288</x:v>
      </x:c>
      <x:c r="C62" s="175" t="s">
        <x:v>303</x:v>
      </x:c>
      <x:c r="D62" s="175" t="s">
        <x:v>61</x:v>
      </x:c>
      <x:c r="E62" s="175" t="s">
        <x:v>304</x:v>
      </x:c>
      <x:c r="F62" s="176" t="s">
        <x:v>47</x:v>
      </x:c>
      <x:c r="G62" s="175" t="s">
        <x:v>63</x:v>
      </x:c>
      <x:c r="H62" s="177"/>
      <x:c r="I62" s="175" t="s">
        <x:v>305</x:v>
      </x:c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 ht="31.899999618530273" customHeight="1">
      <x:c r="A63" s="162" t="s">
        <x:v>306</x:v>
      </x:c>
      <x:c r="B63" s="174" t="s">
        <x:v>288</x:v>
      </x:c>
      <x:c r="C63" s="175" t="s">
        <x:v>307</x:v>
      </x:c>
      <x:c r="D63" s="175" t="s">
        <x:v>45</x:v>
      </x:c>
      <x:c r="E63" s="175" t="s">
        <x:v>308</x:v>
      </x:c>
      <x:c r="F63" s="176" t="s">
        <x:v>47</x:v>
      </x:c>
      <x:c r="G63" s="175" t="s">
        <x:v>309</x:v>
      </x:c>
      <x:c r="H63" s="177">
        <x:v>1</x:v>
      </x:c>
      <x:c r="I63" s="175" t="s">
        <x:v>310</x:v>
      </x:c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 ht="31.899999618530273" customHeight="1">
      <x:c r="A64" s="162" t="s">
        <x:v>311</x:v>
      </x:c>
      <x:c r="B64" s="174" t="s">
        <x:v>288</x:v>
      </x:c>
      <x:c r="C64" s="175" t="s">
        <x:v>312</x:v>
      </x:c>
      <x:c r="D64" s="175" t="s">
        <x:v>45</x:v>
      </x:c>
      <x:c r="E64" s="175" t="s">
        <x:v>313</x:v>
      </x:c>
      <x:c r="F64" s="176" t="s">
        <x:v>47</x:v>
      </x:c>
      <x:c r="G64" s="175" t="s">
        <x:v>309</x:v>
      </x:c>
      <x:c r="H64" s="177">
        <x:v>1</x:v>
      </x:c>
      <x:c r="I64" s="175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 ht="31.899999618530273" customHeight="1">
      <x:c r="A65" s="162" t="s">
        <x:v>314</x:v>
      </x:c>
      <x:c r="B65" s="174" t="s">
        <x:v>288</x:v>
      </x:c>
      <x:c r="C65" s="175" t="s">
        <x:v>315</x:v>
      </x:c>
      <x:c r="D65" s="175" t="s">
        <x:v>45</x:v>
      </x:c>
      <x:c r="E65" s="175" t="s">
        <x:v>316</x:v>
      </x:c>
      <x:c r="F65" s="176" t="s">
        <x:v>47</x:v>
      </x:c>
      <x:c r="G65" s="175" t="s">
        <x:v>317</x:v>
      </x:c>
      <x:c r="H65" s="177">
        <x:v>5</x:v>
      </x:c>
      <x:c r="I65" s="175" t="s">
        <x:v>318</x:v>
      </x:c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 ht="31.899999618530273" customHeight="1">
      <x:c r="A66" s="162" t="s">
        <x:v>319</x:v>
      </x:c>
      <x:c r="B66" s="174" t="s">
        <x:v>320</x:v>
      </x:c>
      <x:c r="C66" s="175" t="s">
        <x:v>321</x:v>
      </x:c>
      <x:c r="D66" s="175" t="s">
        <x:v>45</x:v>
      </x:c>
      <x:c r="E66" s="175" t="s">
        <x:v>322</x:v>
      </x:c>
      <x:c r="F66" s="176" t="s">
        <x:v>47</x:v>
      </x:c>
      <x:c r="G66" s="175" t="s">
        <x:v>323</x:v>
      </x:c>
      <x:c r="H66" s="177">
        <x:v>1</x:v>
      </x:c>
      <x:c r="I66" s="175" t="s">
        <x:v>324</x:v>
      </x:c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 ht="31.899999618530273" customHeight="1">
      <x:c r="A67" s="162" t="s">
        <x:v>325</x:v>
      </x:c>
      <x:c r="B67" s="174" t="s">
        <x:v>320</x:v>
      </x:c>
      <x:c r="C67" s="175" t="s">
        <x:v>326</x:v>
      </x:c>
      <x:c r="D67" s="175" t="s">
        <x:v>45</x:v>
      </x:c>
      <x:c r="E67" s="175" t="s">
        <x:v>327</x:v>
      </x:c>
      <x:c r="F67" s="176" t="s">
        <x:v>47</x:v>
      </x:c>
      <x:c r="G67" s="175" t="s">
        <x:v>328</x:v>
      </x:c>
      <x:c r="H67" s="177">
        <x:v>3</x:v>
      </x:c>
      <x:c r="I67" s="175" t="s">
        <x:v>329</x:v>
      </x:c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 ht="31.899999618530273" customHeight="1">
      <x:c r="A68" s="162" t="s">
        <x:v>330</x:v>
      </x:c>
      <x:c r="B68" s="174" t="s">
        <x:v>320</x:v>
      </x:c>
      <x:c r="C68" s="175" t="s">
        <x:v>331</x:v>
      </x:c>
      <x:c r="D68" s="175" t="s">
        <x:v>45</x:v>
      </x:c>
      <x:c r="E68" s="175" t="s">
        <x:v>332</x:v>
      </x:c>
      <x:c r="F68" s="176" t="s">
        <x:v>47</x:v>
      </x:c>
      <x:c r="G68" s="175" t="s">
        <x:v>333</x:v>
      </x:c>
      <x:c r="H68" s="177">
        <x:v>1</x:v>
      </x:c>
      <x:c r="I68" s="175" t="s">
        <x:v>334</x:v>
      </x:c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 ht="57.599998474121094" customHeight="1">
      <x:c r="A69" s="162" t="s">
        <x:v>335</x:v>
      </x:c>
      <x:c r="B69" s="174" t="s">
        <x:v>320</x:v>
      </x:c>
      <x:c r="C69" s="175" t="s">
        <x:v>336</x:v>
      </x:c>
      <x:c r="D69" s="175" t="s">
        <x:v>45</x:v>
      </x:c>
      <x:c r="E69" s="175" t="s">
        <x:v>337</x:v>
      </x:c>
      <x:c r="F69" s="176" t="s">
        <x:v>47</x:v>
      </x:c>
      <x:c r="G69" s="175" t="s">
        <x:v>338</x:v>
      </x:c>
      <x:c r="H69" s="177">
        <x:v>5</x:v>
      </x:c>
      <x:c r="I69" s="175" t="s">
        <x:v>339</x:v>
      </x:c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 ht="44.650001525878906" customHeight="1">
      <x:c r="A70" s="162" t="s">
        <x:v>340</x:v>
      </x:c>
      <x:c r="B70" s="174" t="s">
        <x:v>320</x:v>
      </x:c>
      <x:c r="C70" s="175" t="s">
        <x:v>341</x:v>
      </x:c>
      <x:c r="D70" s="175" t="s">
        <x:v>45</x:v>
      </x:c>
      <x:c r="E70" s="175" t="s">
        <x:v>342</x:v>
      </x:c>
      <x:c r="F70" s="176" t="s">
        <x:v>57</x:v>
      </x:c>
      <x:c r="G70" s="175" t="s">
        <x:v>343</x:v>
      </x:c>
      <x:c r="H70" s="177"/>
      <x:c r="I70" s="175" t="s">
        <x:v>344</x:v>
      </x:c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 ht="57.599998474121094" customHeight="1">
      <x:c r="A71" s="162" t="s">
        <x:v>345</x:v>
      </x:c>
      <x:c r="B71" s="174" t="s">
        <x:v>346</x:v>
      </x:c>
      <x:c r="C71" s="175" t="s">
        <x:v>347</x:v>
      </x:c>
      <x:c r="D71" s="175"/>
      <x:c r="E71" s="175" t="s">
        <x:v>348</x:v>
      </x:c>
      <x:c r="F71" s="176" t="s">
        <x:v>349</x:v>
      </x:c>
      <x:c r="G71" s="175" t="s">
        <x:v>350</x:v>
      </x:c>
      <x:c r="H71" s="177"/>
      <x:c r="I71" s="175" t="s">
        <x:v>351</x:v>
      </x:c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 ht="57.599998474121094" customHeight="1">
      <x:c r="A72" s="162" t="s">
        <x:v>352</x:v>
      </x:c>
      <x:c r="B72" s="174" t="s">
        <x:v>346</x:v>
      </x:c>
      <x:c r="C72" s="175" t="s">
        <x:v>353</x:v>
      </x:c>
      <x:c r="D72" s="175"/>
      <x:c r="E72" s="175" t="s">
        <x:v>354</x:v>
      </x:c>
      <x:c r="F72" s="176" t="s">
        <x:v>349</x:v>
      </x:c>
      <x:c r="G72" s="175" t="s">
        <x:v>350</x:v>
      </x:c>
      <x:c r="H72" s="177"/>
      <x:c r="I72" s="175" t="s">
        <x:v>355</x:v>
      </x:c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 ht="57.599998474121094" customHeight="1">
      <x:c r="A73" s="162" t="s">
        <x:v>356</x:v>
      </x:c>
      <x:c r="B73" s="174" t="s">
        <x:v>346</x:v>
      </x:c>
      <x:c r="C73" s="175" t="s">
        <x:v>357</x:v>
      </x:c>
      <x:c r="D73" s="175"/>
      <x:c r="E73" s="175" t="s">
        <x:v>358</x:v>
      </x:c>
      <x:c r="F73" s="176" t="s">
        <x:v>349</x:v>
      </x:c>
      <x:c r="G73" s="175" t="s">
        <x:v>350</x:v>
      </x:c>
      <x:c r="H73" s="177"/>
      <x:c r="I73" s="175" t="s">
        <x:v>355</x:v>
      </x:c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 ht="57.599998474121094" customHeight="1">
      <x:c r="A74" s="162" t="s">
        <x:v>359</x:v>
      </x:c>
      <x:c r="B74" s="174" t="s">
        <x:v>346</x:v>
      </x:c>
      <x:c r="C74" s="175" t="s">
        <x:v>360</x:v>
      </x:c>
      <x:c r="D74" s="175"/>
      <x:c r="E74" s="175" t="s">
        <x:v>361</x:v>
      </x:c>
      <x:c r="F74" s="176" t="s">
        <x:v>349</x:v>
      </x:c>
      <x:c r="G74" s="175" t="s">
        <x:v>350</x:v>
      </x:c>
      <x:c r="H74" s="177"/>
      <x:c r="I74" s="175" t="s">
        <x:v>355</x:v>
      </x:c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 ht="57.599998474121094" customHeight="1">
      <x:c r="A75" s="162" t="s">
        <x:v>362</x:v>
      </x:c>
      <x:c r="B75" s="174" t="s">
        <x:v>346</x:v>
      </x:c>
      <x:c r="C75" s="175" t="s">
        <x:v>363</x:v>
      </x:c>
      <x:c r="D75" s="175"/>
      <x:c r="E75" s="175" t="s">
        <x:v>364</x:v>
      </x:c>
      <x:c r="F75" s="176" t="s">
        <x:v>349</x:v>
      </x:c>
      <x:c r="G75" s="175" t="s">
        <x:v>350</x:v>
      </x:c>
      <x:c r="H75" s="177"/>
      <x:c r="I75" s="175" t="s">
        <x:v>355</x:v>
      </x:c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 ht="57.599998474121094" customHeight="1">
      <x:c r="A76" s="162" t="s">
        <x:v>365</x:v>
      </x:c>
      <x:c r="B76" s="174" t="s">
        <x:v>346</x:v>
      </x:c>
      <x:c r="C76" s="175" t="s">
        <x:v>366</x:v>
      </x:c>
      <x:c r="D76" s="175"/>
      <x:c r="E76" s="175" t="s">
        <x:v>367</x:v>
      </x:c>
      <x:c r="F76" s="176" t="s">
        <x:v>349</x:v>
      </x:c>
      <x:c r="G76" s="175" t="s">
        <x:v>350</x:v>
      </x:c>
      <x:c r="H76" s="177"/>
      <x:c r="I76" s="175" t="s">
        <x:v>355</x:v>
      </x:c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 ht="57.599998474121094" customHeight="1">
      <x:c r="A77" s="162" t="s">
        <x:v>368</x:v>
      </x:c>
      <x:c r="B77" s="174" t="s">
        <x:v>369</x:v>
      </x:c>
      <x:c r="C77" s="175" t="s">
        <x:v>370</x:v>
      </x:c>
      <x:c r="D77" s="175"/>
      <x:c r="E77" s="175" t="s">
        <x:v>371</x:v>
      </x:c>
      <x:c r="F77" s="176" t="s">
        <x:v>349</x:v>
      </x:c>
      <x:c r="G77" s="175" t="s">
        <x:v>350</x:v>
      </x:c>
      <x:c r="H77" s="177"/>
      <x:c r="I77" s="175" t="s">
        <x:v>355</x:v>
      </x:c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 ht="57.599998474121094" customHeight="1">
      <x:c r="A78" s="162" t="s">
        <x:v>372</x:v>
      </x:c>
      <x:c r="B78" s="174" t="s">
        <x:v>369</x:v>
      </x:c>
      <x:c r="C78" s="175" t="s">
        <x:v>373</x:v>
      </x:c>
      <x:c r="D78" s="175"/>
      <x:c r="E78" s="175" t="s">
        <x:v>374</x:v>
      </x:c>
      <x:c r="F78" s="176" t="s">
        <x:v>349</x:v>
      </x:c>
      <x:c r="G78" s="175" t="s">
        <x:v>350</x:v>
      </x:c>
      <x:c r="H78" s="177"/>
      <x:c r="I78" s="175" t="s">
        <x:v>355</x:v>
      </x:c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 ht="57.599998474121094" customHeight="1">
      <x:c r="A79" s="162" t="s">
        <x:v>375</x:v>
      </x:c>
      <x:c r="B79" s="174" t="s">
        <x:v>376</x:v>
      </x:c>
      <x:c r="C79" s="175" t="s">
        <x:v>377</x:v>
      </x:c>
      <x:c r="D79" s="175"/>
      <x:c r="E79" s="175" t="s">
        <x:v>378</x:v>
      </x:c>
      <x:c r="F79" s="176" t="s">
        <x:v>349</x:v>
      </x:c>
      <x:c r="G79" s="175" t="s">
        <x:v>350</x:v>
      </x:c>
      <x:c r="H79" s="177"/>
      <x:c r="I79" s="175" t="s">
        <x:v>355</x:v>
      </x:c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 ht="57.599998474121094" customHeight="1">
      <x:c r="A80" s="162" t="s">
        <x:v>379</x:v>
      </x:c>
      <x:c r="B80" s="174" t="s">
        <x:v>380</x:v>
      </x:c>
      <x:c r="C80" s="175" t="s">
        <x:v>381</x:v>
      </x:c>
      <x:c r="D80" s="175"/>
      <x:c r="E80" s="175" t="s">
        <x:v>382</x:v>
      </x:c>
      <x:c r="F80" s="176" t="s">
        <x:v>349</x:v>
      </x:c>
      <x:c r="G80" s="175" t="s">
        <x:v>350</x:v>
      </x:c>
      <x:c r="H80" s="177"/>
      <x:c r="I80" s="175" t="s">
        <x:v>355</x:v>
      </x:c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 ht="57.599998474121094" customHeight="1">
      <x:c r="A81" s="162" t="s">
        <x:v>383</x:v>
      </x:c>
      <x:c r="B81" s="174" t="s">
        <x:v>380</x:v>
      </x:c>
      <x:c r="C81" s="175" t="s">
        <x:v>384</x:v>
      </x:c>
      <x:c r="D81" s="175"/>
      <x:c r="E81" s="175" t="s">
        <x:v>385</x:v>
      </x:c>
      <x:c r="F81" s="176" t="s">
        <x:v>349</x:v>
      </x:c>
      <x:c r="G81" s="175" t="s">
        <x:v>350</x:v>
      </x:c>
      <x:c r="H81" s="177"/>
      <x:c r="I81" s="175" t="s">
        <x:v>355</x:v>
      </x:c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 ht="57.599998474121094" customHeight="1">
      <x:c r="A82" s="162" t="s">
        <x:v>386</x:v>
      </x:c>
      <x:c r="B82" s="174" t="s">
        <x:v>387</x:v>
      </x:c>
      <x:c r="C82" s="175" t="s">
        <x:v>388</x:v>
      </x:c>
      <x:c r="D82" s="175"/>
      <x:c r="E82" s="175" t="s">
        <x:v>389</x:v>
      </x:c>
      <x:c r="F82" s="176" t="s">
        <x:v>349</x:v>
      </x:c>
      <x:c r="G82" s="175" t="s">
        <x:v>350</x:v>
      </x:c>
      <x:c r="H82" s="177"/>
      <x:c r="I82" s="175" t="s">
        <x:v>355</x:v>
      </x:c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 ht="57.599998474121094" customHeight="1">
      <x:c r="A83" s="162" t="s">
        <x:v>390</x:v>
      </x:c>
      <x:c r="B83" s="174" t="s">
        <x:v>391</x:v>
      </x:c>
      <x:c r="C83" s="175" t="s">
        <x:v>392</x:v>
      </x:c>
      <x:c r="D83" s="175"/>
      <x:c r="E83" s="175" t="s">
        <x:v>393</x:v>
      </x:c>
      <x:c r="F83" s="176" t="s">
        <x:v>349</x:v>
      </x:c>
      <x:c r="G83" s="175" t="s">
        <x:v>350</x:v>
      </x:c>
      <x:c r="H83" s="177"/>
      <x:c r="I83" s="175" t="s">
        <x:v>394</x:v>
      </x:c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 ht="57.599998474121094" customHeight="1">
      <x:c r="A84" s="162" t="s">
        <x:v>395</x:v>
      </x:c>
      <x:c r="B84" s="174" t="s">
        <x:v>396</x:v>
      </x:c>
      <x:c r="C84" s="175" t="s">
        <x:v>397</x:v>
      </x:c>
      <x:c r="D84" s="175"/>
      <x:c r="E84" s="175" t="s">
        <x:v>398</x:v>
      </x:c>
      <x:c r="F84" s="176" t="s">
        <x:v>349</x:v>
      </x:c>
      <x:c r="G84" s="175" t="s">
        <x:v>350</x:v>
      </x:c>
      <x:c r="H84" s="177"/>
      <x:c r="I84" s="175" t="s">
        <x:v>351</x:v>
      </x:c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 ht="57.599998474121094" customHeight="1">
      <x:c r="A85" s="162" t="s">
        <x:v>399</x:v>
      </x:c>
      <x:c r="B85" s="174" t="s">
        <x:v>400</x:v>
      </x:c>
      <x:c r="C85" s="175" t="s">
        <x:v>401</x:v>
      </x:c>
      <x:c r="D85" s="175"/>
      <x:c r="E85" s="175" t="s">
        <x:v>402</x:v>
      </x:c>
      <x:c r="F85" s="176" t="s">
        <x:v>349</x:v>
      </x:c>
      <x:c r="G85" s="175" t="s">
        <x:v>350</x:v>
      </x:c>
      <x:c r="H85" s="177"/>
      <x:c r="I85" s="175" t="s">
        <x:v>351</x:v>
      </x:c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 ht="57.599998474121094" customHeight="1">
      <x:c r="A86" s="162" t="s">
        <x:v>403</x:v>
      </x:c>
      <x:c r="B86" s="174" t="s">
        <x:v>404</x:v>
      </x:c>
      <x:c r="C86" s="175" t="s">
        <x:v>401</x:v>
      </x:c>
      <x:c r="D86" s="175"/>
      <x:c r="E86" s="175" t="s">
        <x:v>402</x:v>
      </x:c>
      <x:c r="F86" s="176" t="s">
        <x:v>349</x:v>
      </x:c>
      <x:c r="G86" s="175" t="s">
        <x:v>350</x:v>
      </x:c>
      <x:c r="H86" s="177"/>
      <x:c r="I86" s="175" t="s">
        <x:v>351</x:v>
      </x:c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3" width="11" customWidth="1"/>
    <x:col min="4" max="4" width="14" hidden="0" customWidth="1"/>
    <x:col min="5" max="5" width="15" hidden="0" customWidth="1"/>
    <x:col min="6" max="6" width="34" hidden="0" customWidth="1"/>
    <x:col min="7" max="9" width="7" customWidth="1"/>
    <x:col min="10" max="10" width="13" hidden="0" customWidth="1"/>
    <x:col min="11" max="11" width="14" hidden="0" customWidth="1"/>
    <x:col min="12" max="12" width="16" hidden="0" customWidth="1"/>
    <x:col min="13" max="13" width="22" hidden="0" customWidth="1"/>
    <x:col min="14" max="14" width="30" hidden="0" customWidth="1"/>
    <x:col min="2" max="2" width="11" hidden="0" customWidth="1"/>
    <x:col min="3" max="3" width="11" hidden="0" customWidth="1"/>
    <x:col min="7" max="7" width="8" hidden="0" customWidth="1"/>
    <x:col min="8" max="8" width="8" hidden="0" customWidth="1"/>
    <x:col min="9" max="9" width="8" hidden="0" customWidth="1"/>
  </x:cols>
  <x:sheetData>
    <x:row r="1" ht="20.25" customHeight="1">
      <x:c r="A1" s="148" t="s">
        <x:v>405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31.899999618530273" customHeight="1">
      <x:c r="A2" s="154" t="s">
        <x:v>406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33.95000076293945" customHeight="1">
      <x:c r="A4" s="252" t="s">
        <x:v>407</x:v>
      </x:c>
      <x:c r="B4" s="252" t="s">
        <x:v>2</x:v>
      </x:c>
      <x:c r="C4" s="252" t="s">
        <x:v>33</x:v>
      </x:c>
      <x:c r="D4" s="252" t="s">
        <x:v>8</x:v>
      </x:c>
      <x:c r="E4" s="252" t="s">
        <x:v>408</x:v>
      </x:c>
      <x:c r="F4" s="252" t="s">
        <x:v>409</x:v>
      </x:c>
      <x:c r="G4" s="252" t="s">
        <x:v>410</x:v>
      </x:c>
      <x:c r="H4" s="252" t="s">
        <x:v>411</x:v>
      </x:c>
      <x:c r="I4" s="252" t="s">
        <x:v>412</x:v>
      </x:c>
      <x:c r="J4" s="252" t="s">
        <x:v>413</x:v>
      </x:c>
      <x:c r="K4" s="252" t="s">
        <x:v>414</x:v>
      </x:c>
      <x:c r="L4" s="252" t="s">
        <x:v>40</x:v>
      </x:c>
      <x:c r="M4" s="252" t="s">
        <x:v>415</x:v>
      </x:c>
      <x:c r="N4" s="252" t="s">
        <x:v>13</x:v>
      </x:c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30" customHeight="1">
      <x:c r="A5" s="176" t="str">
        <x:f>IF(OR($B5="",$C5=""),"","LC-"&amp;TEXT(1,"0000"))</x:f>
      </x:c>
      <x:c r="B5" s="259"/>
      <x:c r="C5" s="259"/>
      <x:c r="D5" s="271" t="str">
        <x:f>IF($B5="","",IFERROR(IF(INDEX(Obras!$G$5:$G$19,MATCH($B5,Obras!$A$5:$A$19,0))="","",INDEX(Obras!$G$5:$G$19,MATCH($B5,Obras!$A$5:$A$19,0))),""))</x:f>
      </x:c>
      <x:c r="E5" s="259"/>
      <x:c r="F5" s="255"/>
      <x:c r="G5" s="259"/>
      <x:c r="H5" s="259"/>
      <x:c r="I5" s="259"/>
      <x:c r="J5" s="181" t="str">
        <x:f t="shared" ref="J5:J68" si="0">IF(COUNT($G5:$I5)=3,$G5*$H5*$I5,"")</x:f>
      </x:c>
      <x:c r="K5" s="176" t="str">
        <x:f t="shared" ref="K5:K68" si="1">IF($J5="","",IF($J5&gt;=512,"Prioridade 1",IF($J5&gt;=108,"Prioridade 2","Prioridade 3")))</x:f>
      </x:c>
      <x:c r="L5" s="181" t="str">
        <x:f>IF($C5="","",IFERROR(IF(INDEX(Catalogo!$H$5:$H$86,MATCH($C5,Catalogo!$A$5:$A$86,0))="","",INDEX(Catalogo!$H$5:$H$86,MATCH($C5,Catalogo!$A$5:$A$86,0))),""))</x:f>
      </x:c>
      <x:c r="M5" s="176" t="str">
        <x:f>IF(OR($B5="",$L5=""),"",IFERROR(IF(INDEX(Obras!$H$5:$H$19,MATCH($B5,Obras!$A$5:$A$19,0))="","",IF(INDEX(Obras!$H$5:$H$19,MATCH($B5,Obras!$A$5:$A$19,0))&gt;$L5,"VENCIDA",IF($L5-INDEX(Obras!$H$5:$H$19,MATCH($B5,Obras!$A$5:$A$19,0))&lt;=0.5,"VENCE EM ATÉ 6 MESES","VIGENTE"))),""))</x:f>
      </x:c>
      <x:c r="N5" s="255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30" customHeight="1">
      <x:c r="A6" s="176" t="str">
        <x:f>IF(OR($B6="",$C6=""),"","LC-"&amp;TEXT(2,"0000"))</x:f>
      </x:c>
      <x:c r="B6" s="259"/>
      <x:c r="C6" s="259"/>
      <x:c r="D6" s="271" t="str">
        <x:f>IF($B6="","",IFERROR(IF(INDEX(Obras!$G$5:$G$19,MATCH($B6,Obras!$A$5:$A$19,0))="","",INDEX(Obras!$G$5:$G$19,MATCH($B6,Obras!$A$5:$A$19,0))),""))</x:f>
      </x:c>
      <x:c r="E6" s="259"/>
      <x:c r="F6" s="255"/>
      <x:c r="G6" s="259"/>
      <x:c r="H6" s="259"/>
      <x:c r="I6" s="259"/>
      <x:c r="J6" s="181" t="str">
        <x:f t="shared" si="0"/>
      </x:c>
      <x:c r="K6" s="176" t="str">
        <x:f t="shared" si="1"/>
      </x:c>
      <x:c r="L6" s="181" t="str">
        <x:f>IF($C6="","",IFERROR(IF(INDEX(Catalogo!$H$5:$H$86,MATCH($C6,Catalogo!$A$5:$A$86,0))="","",INDEX(Catalogo!$H$5:$H$86,MATCH($C6,Catalogo!$A$5:$A$86,0))),""))</x:f>
      </x:c>
      <x:c r="M6" s="176" t="str">
        <x:f>IF(OR($B6="",$L6=""),"",IFERROR(IF(INDEX(Obras!$H$5:$H$19,MATCH($B6,Obras!$A$5:$A$19,0))="","",IF(INDEX(Obras!$H$5:$H$19,MATCH($B6,Obras!$A$5:$A$19,0))&gt;$L6,"VENCIDA",IF($L6-INDEX(Obras!$H$5:$H$19,MATCH($B6,Obras!$A$5:$A$19,0))&lt;=0.5,"VENCE EM ATÉ 6 MESES","VIGENTE"))),""))</x:f>
      </x:c>
      <x:c r="N6" s="255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30" customHeight="1">
      <x:c r="A7" s="176" t="str">
        <x:f>IF(OR($B7="",$C7=""),"","LC-"&amp;TEXT(3,"0000"))</x:f>
      </x:c>
      <x:c r="B7" s="259"/>
      <x:c r="C7" s="259"/>
      <x:c r="D7" s="271" t="str">
        <x:f>IF($B7="","",IFERROR(IF(INDEX(Obras!$G$5:$G$19,MATCH($B7,Obras!$A$5:$A$19,0))="","",INDEX(Obras!$G$5:$G$19,MATCH($B7,Obras!$A$5:$A$19,0))),""))</x:f>
      </x:c>
      <x:c r="E7" s="259"/>
      <x:c r="F7" s="255"/>
      <x:c r="G7" s="259"/>
      <x:c r="H7" s="259"/>
      <x:c r="I7" s="259"/>
      <x:c r="J7" s="181" t="str">
        <x:f t="shared" si="0"/>
      </x:c>
      <x:c r="K7" s="176" t="str">
        <x:f t="shared" si="1"/>
      </x:c>
      <x:c r="L7" s="181" t="str">
        <x:f>IF($C7="","",IFERROR(IF(INDEX(Catalogo!$H$5:$H$86,MATCH($C7,Catalogo!$A$5:$A$86,0))="","",INDEX(Catalogo!$H$5:$H$86,MATCH($C7,Catalogo!$A$5:$A$86,0))),""))</x:f>
      </x:c>
      <x:c r="M7" s="176" t="str">
        <x:f>IF(OR($B7="",$L7=""),"",IFERROR(IF(INDEX(Obras!$H$5:$H$19,MATCH($B7,Obras!$A$5:$A$19,0))="","",IF(INDEX(Obras!$H$5:$H$19,MATCH($B7,Obras!$A$5:$A$19,0))&gt;$L7,"VENCIDA",IF($L7-INDEX(Obras!$H$5:$H$19,MATCH($B7,Obras!$A$5:$A$19,0))&lt;=0.5,"VENCE EM ATÉ 6 MESES","VIGENTE"))),""))</x:f>
      </x:c>
      <x:c r="N7" s="255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30" customHeight="1">
      <x:c r="A8" s="176" t="str">
        <x:f>IF(OR($B8="",$C8=""),"","LC-"&amp;TEXT(4,"0000"))</x:f>
      </x:c>
      <x:c r="B8" s="259"/>
      <x:c r="C8" s="259"/>
      <x:c r="D8" s="271" t="str">
        <x:f>IF($B8="","",IFERROR(IF(INDEX(Obras!$G$5:$G$19,MATCH($B8,Obras!$A$5:$A$19,0))="","",INDEX(Obras!$G$5:$G$19,MATCH($B8,Obras!$A$5:$A$19,0))),""))</x:f>
      </x:c>
      <x:c r="E8" s="259"/>
      <x:c r="F8" s="255"/>
      <x:c r="G8" s="259"/>
      <x:c r="H8" s="259"/>
      <x:c r="I8" s="259"/>
      <x:c r="J8" s="181" t="str">
        <x:f t="shared" si="0"/>
      </x:c>
      <x:c r="K8" s="176" t="str">
        <x:f t="shared" si="1"/>
      </x:c>
      <x:c r="L8" s="181" t="str">
        <x:f>IF($C8="","",IFERROR(IF(INDEX(Catalogo!$H$5:$H$86,MATCH($C8,Catalogo!$A$5:$A$86,0))="","",INDEX(Catalogo!$H$5:$H$86,MATCH($C8,Catalogo!$A$5:$A$86,0))),""))</x:f>
      </x:c>
      <x:c r="M8" s="176" t="str">
        <x:f>IF(OR($B8="",$L8=""),"",IFERROR(IF(INDEX(Obras!$H$5:$H$19,MATCH($B8,Obras!$A$5:$A$19,0))="","",IF(INDEX(Obras!$H$5:$H$19,MATCH($B8,Obras!$A$5:$A$19,0))&gt;$L8,"VENCIDA",IF($L8-INDEX(Obras!$H$5:$H$19,MATCH($B8,Obras!$A$5:$A$19,0))&lt;=0.5,"VENCE EM ATÉ 6 MESES","VIGENTE"))),""))</x:f>
      </x:c>
      <x:c r="N8" s="255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30" customHeight="1">
      <x:c r="A9" s="176" t="str">
        <x:f>IF(OR($B9="",$C9=""),"","LC-"&amp;TEXT(5,"0000"))</x:f>
      </x:c>
      <x:c r="B9" s="259"/>
      <x:c r="C9" s="259"/>
      <x:c r="D9" s="271" t="str">
        <x:f>IF($B9="","",IFERROR(IF(INDEX(Obras!$G$5:$G$19,MATCH($B9,Obras!$A$5:$A$19,0))="","",INDEX(Obras!$G$5:$G$19,MATCH($B9,Obras!$A$5:$A$19,0))),""))</x:f>
      </x:c>
      <x:c r="E9" s="259"/>
      <x:c r="F9" s="255"/>
      <x:c r="G9" s="259"/>
      <x:c r="H9" s="259"/>
      <x:c r="I9" s="259"/>
      <x:c r="J9" s="181" t="str">
        <x:f t="shared" si="0"/>
      </x:c>
      <x:c r="K9" s="176" t="str">
        <x:f t="shared" si="1"/>
      </x:c>
      <x:c r="L9" s="181" t="str">
        <x:f>IF($C9="","",IFERROR(IF(INDEX(Catalogo!$H$5:$H$86,MATCH($C9,Catalogo!$A$5:$A$86,0))="","",INDEX(Catalogo!$H$5:$H$86,MATCH($C9,Catalogo!$A$5:$A$86,0))),""))</x:f>
      </x:c>
      <x:c r="M9" s="176" t="str">
        <x:f>IF(OR($B9="",$L9=""),"",IFERROR(IF(INDEX(Obras!$H$5:$H$19,MATCH($B9,Obras!$A$5:$A$19,0))="","",IF(INDEX(Obras!$H$5:$H$19,MATCH($B9,Obras!$A$5:$A$19,0))&gt;$L9,"VENCIDA",IF($L9-INDEX(Obras!$H$5:$H$19,MATCH($B9,Obras!$A$5:$A$19,0))&lt;=0.5,"VENCE EM ATÉ 6 MESES","VIGENTE"))),""))</x:f>
      </x:c>
      <x:c r="N9" s="255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30" customHeight="1">
      <x:c r="A10" s="176" t="str">
        <x:f>IF(OR($B10="",$C10=""),"","LC-"&amp;TEXT(6,"0000"))</x:f>
      </x:c>
      <x:c r="B10" s="259"/>
      <x:c r="C10" s="259"/>
      <x:c r="D10" s="271" t="str">
        <x:f>IF($B10="","",IFERROR(IF(INDEX(Obras!$G$5:$G$19,MATCH($B10,Obras!$A$5:$A$19,0))="","",INDEX(Obras!$G$5:$G$19,MATCH($B10,Obras!$A$5:$A$19,0))),""))</x:f>
      </x:c>
      <x:c r="E10" s="259"/>
      <x:c r="F10" s="255"/>
      <x:c r="G10" s="259"/>
      <x:c r="H10" s="259"/>
      <x:c r="I10" s="259"/>
      <x:c r="J10" s="181" t="str">
        <x:f t="shared" si="0"/>
      </x:c>
      <x:c r="K10" s="176" t="str">
        <x:f t="shared" si="1"/>
      </x:c>
      <x:c r="L10" s="181" t="str">
        <x:f>IF($C10="","",IFERROR(IF(INDEX(Catalogo!$H$5:$H$86,MATCH($C10,Catalogo!$A$5:$A$86,0))="","",INDEX(Catalogo!$H$5:$H$86,MATCH($C10,Catalogo!$A$5:$A$86,0))),""))</x:f>
      </x:c>
      <x:c r="M10" s="176" t="str">
        <x:f>IF(OR($B10="",$L10=""),"",IFERROR(IF(INDEX(Obras!$H$5:$H$19,MATCH($B10,Obras!$A$5:$A$19,0))="","",IF(INDEX(Obras!$H$5:$H$19,MATCH($B10,Obras!$A$5:$A$19,0))&gt;$L10,"VENCIDA",IF($L10-INDEX(Obras!$H$5:$H$19,MATCH($B10,Obras!$A$5:$A$19,0))&lt;=0.5,"VENCE EM ATÉ 6 MESES","VIGENTE"))),""))</x:f>
      </x:c>
      <x:c r="N10" s="255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30" customHeight="1">
      <x:c r="A11" s="176" t="str">
        <x:f>IF(OR($B11="",$C11=""),"","LC-"&amp;TEXT(7,"0000"))</x:f>
      </x:c>
      <x:c r="B11" s="259"/>
      <x:c r="C11" s="259"/>
      <x:c r="D11" s="271" t="str">
        <x:f>IF($B11="","",IFERROR(IF(INDEX(Obras!$G$5:$G$19,MATCH($B11,Obras!$A$5:$A$19,0))="","",INDEX(Obras!$G$5:$G$19,MATCH($B11,Obras!$A$5:$A$19,0))),""))</x:f>
      </x:c>
      <x:c r="E11" s="259"/>
      <x:c r="F11" s="255"/>
      <x:c r="G11" s="259"/>
      <x:c r="H11" s="259"/>
      <x:c r="I11" s="259"/>
      <x:c r="J11" s="181" t="str">
        <x:f t="shared" si="0"/>
      </x:c>
      <x:c r="K11" s="176" t="str">
        <x:f t="shared" si="1"/>
      </x:c>
      <x:c r="L11" s="181" t="str">
        <x:f>IF($C11="","",IFERROR(IF(INDEX(Catalogo!$H$5:$H$86,MATCH($C11,Catalogo!$A$5:$A$86,0))="","",INDEX(Catalogo!$H$5:$H$86,MATCH($C11,Catalogo!$A$5:$A$86,0))),""))</x:f>
      </x:c>
      <x:c r="M11" s="176" t="str">
        <x:f>IF(OR($B11="",$L11=""),"",IFERROR(IF(INDEX(Obras!$H$5:$H$19,MATCH($B11,Obras!$A$5:$A$19,0))="","",IF(INDEX(Obras!$H$5:$H$19,MATCH($B11,Obras!$A$5:$A$19,0))&gt;$L11,"VENCIDA",IF($L11-INDEX(Obras!$H$5:$H$19,MATCH($B11,Obras!$A$5:$A$19,0))&lt;=0.5,"VENCE EM ATÉ 6 MESES","VIGENTE"))),""))</x:f>
      </x:c>
      <x:c r="N11" s="255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30" customHeight="1">
      <x:c r="A12" s="176" t="str">
        <x:f>IF(OR($B12="",$C12=""),"","LC-"&amp;TEXT(8,"0000"))</x:f>
      </x:c>
      <x:c r="B12" s="259"/>
      <x:c r="C12" s="259"/>
      <x:c r="D12" s="271" t="str">
        <x:f>IF($B12="","",IFERROR(IF(INDEX(Obras!$G$5:$G$19,MATCH($B12,Obras!$A$5:$A$19,0))="","",INDEX(Obras!$G$5:$G$19,MATCH($B12,Obras!$A$5:$A$19,0))),""))</x:f>
      </x:c>
      <x:c r="E12" s="259"/>
      <x:c r="F12" s="255"/>
      <x:c r="G12" s="259"/>
      <x:c r="H12" s="259"/>
      <x:c r="I12" s="259"/>
      <x:c r="J12" s="181" t="str">
        <x:f t="shared" si="0"/>
      </x:c>
      <x:c r="K12" s="176" t="str">
        <x:f t="shared" si="1"/>
      </x:c>
      <x:c r="L12" s="181" t="str">
        <x:f>IF($C12="","",IFERROR(IF(INDEX(Catalogo!$H$5:$H$86,MATCH($C12,Catalogo!$A$5:$A$86,0))="","",INDEX(Catalogo!$H$5:$H$86,MATCH($C12,Catalogo!$A$5:$A$86,0))),""))</x:f>
      </x:c>
      <x:c r="M12" s="176" t="str">
        <x:f>IF(OR($B12="",$L12=""),"",IFERROR(IF(INDEX(Obras!$H$5:$H$19,MATCH($B12,Obras!$A$5:$A$19,0))="","",IF(INDEX(Obras!$H$5:$H$19,MATCH($B12,Obras!$A$5:$A$19,0))&gt;$L12,"VENCIDA",IF($L12-INDEX(Obras!$H$5:$H$19,MATCH($B12,Obras!$A$5:$A$19,0))&lt;=0.5,"VENCE EM ATÉ 6 MESES","VIGENTE"))),""))</x:f>
      </x:c>
      <x:c r="N12" s="255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30" customHeight="1">
      <x:c r="A13" s="176" t="str">
        <x:f>IF(OR($B13="",$C13=""),"","LC-"&amp;TEXT(9,"0000"))</x:f>
      </x:c>
      <x:c r="B13" s="259"/>
      <x:c r="C13" s="259"/>
      <x:c r="D13" s="271" t="str">
        <x:f>IF($B13="","",IFERROR(IF(INDEX(Obras!$G$5:$G$19,MATCH($B13,Obras!$A$5:$A$19,0))="","",INDEX(Obras!$G$5:$G$19,MATCH($B13,Obras!$A$5:$A$19,0))),""))</x:f>
      </x:c>
      <x:c r="E13" s="259"/>
      <x:c r="F13" s="255"/>
      <x:c r="G13" s="259"/>
      <x:c r="H13" s="259"/>
      <x:c r="I13" s="259"/>
      <x:c r="J13" s="181" t="str">
        <x:f t="shared" si="0"/>
      </x:c>
      <x:c r="K13" s="176" t="str">
        <x:f t="shared" si="1"/>
      </x:c>
      <x:c r="L13" s="181" t="str">
        <x:f>IF($C13="","",IFERROR(IF(INDEX(Catalogo!$H$5:$H$86,MATCH($C13,Catalogo!$A$5:$A$86,0))="","",INDEX(Catalogo!$H$5:$H$86,MATCH($C13,Catalogo!$A$5:$A$86,0))),""))</x:f>
      </x:c>
      <x:c r="M13" s="176" t="str">
        <x:f>IF(OR($B13="",$L13=""),"",IFERROR(IF(INDEX(Obras!$H$5:$H$19,MATCH($B13,Obras!$A$5:$A$19,0))="","",IF(INDEX(Obras!$H$5:$H$19,MATCH($B13,Obras!$A$5:$A$19,0))&gt;$L13,"VENCIDA",IF($L13-INDEX(Obras!$H$5:$H$19,MATCH($B13,Obras!$A$5:$A$19,0))&lt;=0.5,"VENCE EM ATÉ 6 MESES","VIGENTE"))),""))</x:f>
      </x:c>
      <x:c r="N13" s="255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30" customHeight="1">
      <x:c r="A14" s="176" t="str">
        <x:f>IF(OR($B14="",$C14=""),"","LC-"&amp;TEXT(10,"0000"))</x:f>
      </x:c>
      <x:c r="B14" s="259"/>
      <x:c r="C14" s="259"/>
      <x:c r="D14" s="271" t="str">
        <x:f>IF($B14="","",IFERROR(IF(INDEX(Obras!$G$5:$G$19,MATCH($B14,Obras!$A$5:$A$19,0))="","",INDEX(Obras!$G$5:$G$19,MATCH($B14,Obras!$A$5:$A$19,0))),""))</x:f>
      </x:c>
      <x:c r="E14" s="259"/>
      <x:c r="F14" s="255"/>
      <x:c r="G14" s="259"/>
      <x:c r="H14" s="259"/>
      <x:c r="I14" s="259"/>
      <x:c r="J14" s="181" t="str">
        <x:f t="shared" si="0"/>
      </x:c>
      <x:c r="K14" s="176" t="str">
        <x:f t="shared" si="1"/>
      </x:c>
      <x:c r="L14" s="181" t="str">
        <x:f>IF($C14="","",IFERROR(IF(INDEX(Catalogo!$H$5:$H$86,MATCH($C14,Catalogo!$A$5:$A$86,0))="","",INDEX(Catalogo!$H$5:$H$86,MATCH($C14,Catalogo!$A$5:$A$86,0))),""))</x:f>
      </x:c>
      <x:c r="M14" s="176" t="str">
        <x:f>IF(OR($B14="",$L14=""),"",IFERROR(IF(INDEX(Obras!$H$5:$H$19,MATCH($B14,Obras!$A$5:$A$19,0))="","",IF(INDEX(Obras!$H$5:$H$19,MATCH($B14,Obras!$A$5:$A$19,0))&gt;$L14,"VENCIDA",IF($L14-INDEX(Obras!$H$5:$H$19,MATCH($B14,Obras!$A$5:$A$19,0))&lt;=0.5,"VENCE EM ATÉ 6 MESES","VIGENTE"))),""))</x:f>
      </x:c>
      <x:c r="N14" s="255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30" customHeight="1">
      <x:c r="A15" s="176" t="str">
        <x:f>IF(OR($B15="",$C15=""),"","LC-"&amp;TEXT(11,"0000"))</x:f>
      </x:c>
      <x:c r="B15" s="259"/>
      <x:c r="C15" s="259"/>
      <x:c r="D15" s="271" t="str">
        <x:f>IF($B15="","",IFERROR(IF(INDEX(Obras!$G$5:$G$19,MATCH($B15,Obras!$A$5:$A$19,0))="","",INDEX(Obras!$G$5:$G$19,MATCH($B15,Obras!$A$5:$A$19,0))),""))</x:f>
      </x:c>
      <x:c r="E15" s="259"/>
      <x:c r="F15" s="255"/>
      <x:c r="G15" s="259"/>
      <x:c r="H15" s="259"/>
      <x:c r="I15" s="259"/>
      <x:c r="J15" s="181" t="str">
        <x:f t="shared" si="0"/>
      </x:c>
      <x:c r="K15" s="176" t="str">
        <x:f t="shared" si="1"/>
      </x:c>
      <x:c r="L15" s="181" t="str">
        <x:f>IF($C15="","",IFERROR(IF(INDEX(Catalogo!$H$5:$H$86,MATCH($C15,Catalogo!$A$5:$A$86,0))="","",INDEX(Catalogo!$H$5:$H$86,MATCH($C15,Catalogo!$A$5:$A$86,0))),""))</x:f>
      </x:c>
      <x:c r="M15" s="176" t="str">
        <x:f>IF(OR($B15="",$L15=""),"",IFERROR(IF(INDEX(Obras!$H$5:$H$19,MATCH($B15,Obras!$A$5:$A$19,0))="","",IF(INDEX(Obras!$H$5:$H$19,MATCH($B15,Obras!$A$5:$A$19,0))&gt;$L15,"VENCIDA",IF($L15-INDEX(Obras!$H$5:$H$19,MATCH($B15,Obras!$A$5:$A$19,0))&lt;=0.5,"VENCE EM ATÉ 6 MESES","VIGENTE"))),""))</x:f>
      </x:c>
      <x:c r="N15" s="255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30" customHeight="1">
      <x:c r="A16" s="176" t="str">
        <x:f>IF(OR($B16="",$C16=""),"","LC-"&amp;TEXT(12,"0000"))</x:f>
      </x:c>
      <x:c r="B16" s="259"/>
      <x:c r="C16" s="259"/>
      <x:c r="D16" s="271" t="str">
        <x:f>IF($B16="","",IFERROR(IF(INDEX(Obras!$G$5:$G$19,MATCH($B16,Obras!$A$5:$A$19,0))="","",INDEX(Obras!$G$5:$G$19,MATCH($B16,Obras!$A$5:$A$19,0))),""))</x:f>
      </x:c>
      <x:c r="E16" s="259"/>
      <x:c r="F16" s="255"/>
      <x:c r="G16" s="259"/>
      <x:c r="H16" s="259"/>
      <x:c r="I16" s="259"/>
      <x:c r="J16" s="181" t="str">
        <x:f t="shared" si="0"/>
      </x:c>
      <x:c r="K16" s="176" t="str">
        <x:f t="shared" si="1"/>
      </x:c>
      <x:c r="L16" s="181" t="str">
        <x:f>IF($C16="","",IFERROR(IF(INDEX(Catalogo!$H$5:$H$86,MATCH($C16,Catalogo!$A$5:$A$86,0))="","",INDEX(Catalogo!$H$5:$H$86,MATCH($C16,Catalogo!$A$5:$A$86,0))),""))</x:f>
      </x:c>
      <x:c r="M16" s="176" t="str">
        <x:f>IF(OR($B16="",$L16=""),"",IFERROR(IF(INDEX(Obras!$H$5:$H$19,MATCH($B16,Obras!$A$5:$A$19,0))="","",IF(INDEX(Obras!$H$5:$H$19,MATCH($B16,Obras!$A$5:$A$19,0))&gt;$L16,"VENCIDA",IF($L16-INDEX(Obras!$H$5:$H$19,MATCH($B16,Obras!$A$5:$A$19,0))&lt;=0.5,"VENCE EM ATÉ 6 MESES","VIGENTE"))),""))</x:f>
      </x:c>
      <x:c r="N16" s="255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30" customHeight="1">
      <x:c r="A17" s="176" t="str">
        <x:f>IF(OR($B17="",$C17=""),"","LC-"&amp;TEXT(13,"0000"))</x:f>
      </x:c>
      <x:c r="B17" s="259"/>
      <x:c r="C17" s="259"/>
      <x:c r="D17" s="271" t="str">
        <x:f>IF($B17="","",IFERROR(IF(INDEX(Obras!$G$5:$G$19,MATCH($B17,Obras!$A$5:$A$19,0))="","",INDEX(Obras!$G$5:$G$19,MATCH($B17,Obras!$A$5:$A$19,0))),""))</x:f>
      </x:c>
      <x:c r="E17" s="259"/>
      <x:c r="F17" s="255"/>
      <x:c r="G17" s="259"/>
      <x:c r="H17" s="259"/>
      <x:c r="I17" s="259"/>
      <x:c r="J17" s="181" t="str">
        <x:f t="shared" si="0"/>
      </x:c>
      <x:c r="K17" s="176" t="str">
        <x:f t="shared" si="1"/>
      </x:c>
      <x:c r="L17" s="181" t="str">
        <x:f>IF($C17="","",IFERROR(IF(INDEX(Catalogo!$H$5:$H$86,MATCH($C17,Catalogo!$A$5:$A$86,0))="","",INDEX(Catalogo!$H$5:$H$86,MATCH($C17,Catalogo!$A$5:$A$86,0))),""))</x:f>
      </x:c>
      <x:c r="M17" s="176" t="str">
        <x:f>IF(OR($B17="",$L17=""),"",IFERROR(IF(INDEX(Obras!$H$5:$H$19,MATCH($B17,Obras!$A$5:$A$19,0))="","",IF(INDEX(Obras!$H$5:$H$19,MATCH($B17,Obras!$A$5:$A$19,0))&gt;$L17,"VENCIDA",IF($L17-INDEX(Obras!$H$5:$H$19,MATCH($B17,Obras!$A$5:$A$19,0))&lt;=0.5,"VENCE EM ATÉ 6 MESES","VIGENTE"))),""))</x:f>
      </x:c>
      <x:c r="N17" s="255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30" customHeight="1">
      <x:c r="A18" s="176" t="str">
        <x:f>IF(OR($B18="",$C18=""),"","LC-"&amp;TEXT(14,"0000"))</x:f>
      </x:c>
      <x:c r="B18" s="259"/>
      <x:c r="C18" s="259"/>
      <x:c r="D18" s="271" t="str">
        <x:f>IF($B18="","",IFERROR(IF(INDEX(Obras!$G$5:$G$19,MATCH($B18,Obras!$A$5:$A$19,0))="","",INDEX(Obras!$G$5:$G$19,MATCH($B18,Obras!$A$5:$A$19,0))),""))</x:f>
      </x:c>
      <x:c r="E18" s="259"/>
      <x:c r="F18" s="255"/>
      <x:c r="G18" s="259"/>
      <x:c r="H18" s="259"/>
      <x:c r="I18" s="259"/>
      <x:c r="J18" s="181" t="str">
        <x:f t="shared" si="0"/>
      </x:c>
      <x:c r="K18" s="176" t="str">
        <x:f t="shared" si="1"/>
      </x:c>
      <x:c r="L18" s="181" t="str">
        <x:f>IF($C18="","",IFERROR(IF(INDEX(Catalogo!$H$5:$H$86,MATCH($C18,Catalogo!$A$5:$A$86,0))="","",INDEX(Catalogo!$H$5:$H$86,MATCH($C18,Catalogo!$A$5:$A$86,0))),""))</x:f>
      </x:c>
      <x:c r="M18" s="176" t="str">
        <x:f>IF(OR($B18="",$L18=""),"",IFERROR(IF(INDEX(Obras!$H$5:$H$19,MATCH($B18,Obras!$A$5:$A$19,0))="","",IF(INDEX(Obras!$H$5:$H$19,MATCH($B18,Obras!$A$5:$A$19,0))&gt;$L18,"VENCIDA",IF($L18-INDEX(Obras!$H$5:$H$19,MATCH($B18,Obras!$A$5:$A$19,0))&lt;=0.5,"VENCE EM ATÉ 6 MESES","VIGENTE"))),""))</x:f>
      </x:c>
      <x:c r="N18" s="255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30" customHeight="1">
      <x:c r="A19" s="176" t="str">
        <x:f>IF(OR($B19="",$C19=""),"","LC-"&amp;TEXT(15,"0000"))</x:f>
      </x:c>
      <x:c r="B19" s="259"/>
      <x:c r="C19" s="259"/>
      <x:c r="D19" s="271" t="str">
        <x:f>IF($B19="","",IFERROR(IF(INDEX(Obras!$G$5:$G$19,MATCH($B19,Obras!$A$5:$A$19,0))="","",INDEX(Obras!$G$5:$G$19,MATCH($B19,Obras!$A$5:$A$19,0))),""))</x:f>
      </x:c>
      <x:c r="E19" s="259"/>
      <x:c r="F19" s="255"/>
      <x:c r="G19" s="259"/>
      <x:c r="H19" s="259"/>
      <x:c r="I19" s="259"/>
      <x:c r="J19" s="181" t="str">
        <x:f t="shared" si="0"/>
      </x:c>
      <x:c r="K19" s="176" t="str">
        <x:f t="shared" si="1"/>
      </x:c>
      <x:c r="L19" s="181" t="str">
        <x:f>IF($C19="","",IFERROR(IF(INDEX(Catalogo!$H$5:$H$86,MATCH($C19,Catalogo!$A$5:$A$86,0))="","",INDEX(Catalogo!$H$5:$H$86,MATCH($C19,Catalogo!$A$5:$A$86,0))),""))</x:f>
      </x:c>
      <x:c r="M19" s="176" t="str">
        <x:f>IF(OR($B19="",$L19=""),"",IFERROR(IF(INDEX(Obras!$H$5:$H$19,MATCH($B19,Obras!$A$5:$A$19,0))="","",IF(INDEX(Obras!$H$5:$H$19,MATCH($B19,Obras!$A$5:$A$19,0))&gt;$L19,"VENCIDA",IF($L19-INDEX(Obras!$H$5:$H$19,MATCH($B19,Obras!$A$5:$A$19,0))&lt;=0.5,"VENCE EM ATÉ 6 MESES","VIGENTE"))),""))</x:f>
      </x:c>
      <x:c r="N19" s="255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30" customHeight="1">
      <x:c r="A20" s="176" t="str">
        <x:f>IF(OR($B20="",$C20=""),"","LC-"&amp;TEXT(16,"0000"))</x:f>
      </x:c>
      <x:c r="B20" s="259"/>
      <x:c r="C20" s="259"/>
      <x:c r="D20" s="271" t="str">
        <x:f>IF($B20="","",IFERROR(IF(INDEX(Obras!$G$5:$G$19,MATCH($B20,Obras!$A$5:$A$19,0))="","",INDEX(Obras!$G$5:$G$19,MATCH($B20,Obras!$A$5:$A$19,0))),""))</x:f>
      </x:c>
      <x:c r="E20" s="259"/>
      <x:c r="F20" s="255"/>
      <x:c r="G20" s="259"/>
      <x:c r="H20" s="259"/>
      <x:c r="I20" s="259"/>
      <x:c r="J20" s="181" t="str">
        <x:f t="shared" si="0"/>
      </x:c>
      <x:c r="K20" s="176" t="str">
        <x:f t="shared" si="1"/>
      </x:c>
      <x:c r="L20" s="181" t="str">
        <x:f>IF($C20="","",IFERROR(IF(INDEX(Catalogo!$H$5:$H$86,MATCH($C20,Catalogo!$A$5:$A$86,0))="","",INDEX(Catalogo!$H$5:$H$86,MATCH($C20,Catalogo!$A$5:$A$86,0))),""))</x:f>
      </x:c>
      <x:c r="M20" s="176" t="str">
        <x:f>IF(OR($B20="",$L20=""),"",IFERROR(IF(INDEX(Obras!$H$5:$H$19,MATCH($B20,Obras!$A$5:$A$19,0))="","",IF(INDEX(Obras!$H$5:$H$19,MATCH($B20,Obras!$A$5:$A$19,0))&gt;$L20,"VENCIDA",IF($L20-INDEX(Obras!$H$5:$H$19,MATCH($B20,Obras!$A$5:$A$19,0))&lt;=0.5,"VENCE EM ATÉ 6 MESES","VIGENTE"))),""))</x:f>
      </x:c>
      <x:c r="N20" s="255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30" customHeight="1">
      <x:c r="A21" s="176" t="str">
        <x:f>IF(OR($B21="",$C21=""),"","LC-"&amp;TEXT(17,"0000"))</x:f>
      </x:c>
      <x:c r="B21" s="259"/>
      <x:c r="C21" s="259"/>
      <x:c r="D21" s="271" t="str">
        <x:f>IF($B21="","",IFERROR(IF(INDEX(Obras!$G$5:$G$19,MATCH($B21,Obras!$A$5:$A$19,0))="","",INDEX(Obras!$G$5:$G$19,MATCH($B21,Obras!$A$5:$A$19,0))),""))</x:f>
      </x:c>
      <x:c r="E21" s="259"/>
      <x:c r="F21" s="255"/>
      <x:c r="G21" s="259"/>
      <x:c r="H21" s="259"/>
      <x:c r="I21" s="259"/>
      <x:c r="J21" s="181" t="str">
        <x:f t="shared" si="0"/>
      </x:c>
      <x:c r="K21" s="176" t="str">
        <x:f t="shared" si="1"/>
      </x:c>
      <x:c r="L21" s="181" t="str">
        <x:f>IF($C21="","",IFERROR(IF(INDEX(Catalogo!$H$5:$H$86,MATCH($C21,Catalogo!$A$5:$A$86,0))="","",INDEX(Catalogo!$H$5:$H$86,MATCH($C21,Catalogo!$A$5:$A$86,0))),""))</x:f>
      </x:c>
      <x:c r="M21" s="176" t="str">
        <x:f>IF(OR($B21="",$L21=""),"",IFERROR(IF(INDEX(Obras!$H$5:$H$19,MATCH($B21,Obras!$A$5:$A$19,0))="","",IF(INDEX(Obras!$H$5:$H$19,MATCH($B21,Obras!$A$5:$A$19,0))&gt;$L21,"VENCIDA",IF($L21-INDEX(Obras!$H$5:$H$19,MATCH($B21,Obras!$A$5:$A$19,0))&lt;=0.5,"VENCE EM ATÉ 6 MESES","VIGENTE"))),""))</x:f>
      </x:c>
      <x:c r="N21" s="255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30" customHeight="1">
      <x:c r="A22" s="176" t="str">
        <x:f>IF(OR($B22="",$C22=""),"","LC-"&amp;TEXT(18,"0000"))</x:f>
      </x:c>
      <x:c r="B22" s="259"/>
      <x:c r="C22" s="259"/>
      <x:c r="D22" s="271" t="str">
        <x:f>IF($B22="","",IFERROR(IF(INDEX(Obras!$G$5:$G$19,MATCH($B22,Obras!$A$5:$A$19,0))="","",INDEX(Obras!$G$5:$G$19,MATCH($B22,Obras!$A$5:$A$19,0))),""))</x:f>
      </x:c>
      <x:c r="E22" s="259"/>
      <x:c r="F22" s="255"/>
      <x:c r="G22" s="259"/>
      <x:c r="H22" s="259"/>
      <x:c r="I22" s="259"/>
      <x:c r="J22" s="181" t="str">
        <x:f t="shared" si="0"/>
      </x:c>
      <x:c r="K22" s="176" t="str">
        <x:f t="shared" si="1"/>
      </x:c>
      <x:c r="L22" s="181" t="str">
        <x:f>IF($C22="","",IFERROR(IF(INDEX(Catalogo!$H$5:$H$86,MATCH($C22,Catalogo!$A$5:$A$86,0))="","",INDEX(Catalogo!$H$5:$H$86,MATCH($C22,Catalogo!$A$5:$A$86,0))),""))</x:f>
      </x:c>
      <x:c r="M22" s="176" t="str">
        <x:f>IF(OR($B22="",$L22=""),"",IFERROR(IF(INDEX(Obras!$H$5:$H$19,MATCH($B22,Obras!$A$5:$A$19,0))="","",IF(INDEX(Obras!$H$5:$H$19,MATCH($B22,Obras!$A$5:$A$19,0))&gt;$L22,"VENCIDA",IF($L22-INDEX(Obras!$H$5:$H$19,MATCH($B22,Obras!$A$5:$A$19,0))&lt;=0.5,"VENCE EM ATÉ 6 MESES","VIGENTE"))),""))</x:f>
      </x:c>
      <x:c r="N22" s="255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 ht="30" customHeight="1">
      <x:c r="A23" s="176" t="str">
        <x:f>IF(OR($B23="",$C23=""),"","LC-"&amp;TEXT(19,"0000"))</x:f>
      </x:c>
      <x:c r="B23" s="259"/>
      <x:c r="C23" s="259"/>
      <x:c r="D23" s="271" t="str">
        <x:f>IF($B23="","",IFERROR(IF(INDEX(Obras!$G$5:$G$19,MATCH($B23,Obras!$A$5:$A$19,0))="","",INDEX(Obras!$G$5:$G$19,MATCH($B23,Obras!$A$5:$A$19,0))),""))</x:f>
      </x:c>
      <x:c r="E23" s="259"/>
      <x:c r="F23" s="255"/>
      <x:c r="G23" s="259"/>
      <x:c r="H23" s="259"/>
      <x:c r="I23" s="259"/>
      <x:c r="J23" s="181" t="str">
        <x:f t="shared" si="0"/>
      </x:c>
      <x:c r="K23" s="176" t="str">
        <x:f t="shared" si="1"/>
      </x:c>
      <x:c r="L23" s="181" t="str">
        <x:f>IF($C23="","",IFERROR(IF(INDEX(Catalogo!$H$5:$H$86,MATCH($C23,Catalogo!$A$5:$A$86,0))="","",INDEX(Catalogo!$H$5:$H$86,MATCH($C23,Catalogo!$A$5:$A$86,0))),""))</x:f>
      </x:c>
      <x:c r="M23" s="176" t="str">
        <x:f>IF(OR($B23="",$L23=""),"",IFERROR(IF(INDEX(Obras!$H$5:$H$19,MATCH($B23,Obras!$A$5:$A$19,0))="","",IF(INDEX(Obras!$H$5:$H$19,MATCH($B23,Obras!$A$5:$A$19,0))&gt;$L23,"VENCIDA",IF($L23-INDEX(Obras!$H$5:$H$19,MATCH($B23,Obras!$A$5:$A$19,0))&lt;=0.5,"VENCE EM ATÉ 6 MESES","VIGENTE"))),""))</x:f>
      </x:c>
      <x:c r="N23" s="255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30" customHeight="1">
      <x:c r="A24" s="176" t="str">
        <x:f>IF(OR($B24="",$C24=""),"","LC-"&amp;TEXT(20,"0000"))</x:f>
      </x:c>
      <x:c r="B24" s="259"/>
      <x:c r="C24" s="259"/>
      <x:c r="D24" s="271" t="str">
        <x:f>IF($B24="","",IFERROR(IF(INDEX(Obras!$G$5:$G$19,MATCH($B24,Obras!$A$5:$A$19,0))="","",INDEX(Obras!$G$5:$G$19,MATCH($B24,Obras!$A$5:$A$19,0))),""))</x:f>
      </x:c>
      <x:c r="E24" s="259"/>
      <x:c r="F24" s="255"/>
      <x:c r="G24" s="259"/>
      <x:c r="H24" s="259"/>
      <x:c r="I24" s="259"/>
      <x:c r="J24" s="181" t="str">
        <x:f t="shared" si="0"/>
      </x:c>
      <x:c r="K24" s="176" t="str">
        <x:f t="shared" si="1"/>
      </x:c>
      <x:c r="L24" s="181" t="str">
        <x:f>IF($C24="","",IFERROR(IF(INDEX(Catalogo!$H$5:$H$86,MATCH($C24,Catalogo!$A$5:$A$86,0))="","",INDEX(Catalogo!$H$5:$H$86,MATCH($C24,Catalogo!$A$5:$A$86,0))),""))</x:f>
      </x:c>
      <x:c r="M24" s="176" t="str">
        <x:f>IF(OR($B24="",$L24=""),"",IFERROR(IF(INDEX(Obras!$H$5:$H$19,MATCH($B24,Obras!$A$5:$A$19,0))="","",IF(INDEX(Obras!$H$5:$H$19,MATCH($B24,Obras!$A$5:$A$19,0))&gt;$L24,"VENCIDA",IF($L24-INDEX(Obras!$H$5:$H$19,MATCH($B24,Obras!$A$5:$A$19,0))&lt;=0.5,"VENCE EM ATÉ 6 MESES","VIGENTE"))),""))</x:f>
      </x:c>
      <x:c r="N24" s="255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30" customHeight="1">
      <x:c r="A25" s="176" t="str">
        <x:f>IF(OR($B25="",$C25=""),"","LC-"&amp;TEXT(21,"0000"))</x:f>
      </x:c>
      <x:c r="B25" s="259"/>
      <x:c r="C25" s="259"/>
      <x:c r="D25" s="271" t="str">
        <x:f>IF($B25="","",IFERROR(IF(INDEX(Obras!$G$5:$G$19,MATCH($B25,Obras!$A$5:$A$19,0))="","",INDEX(Obras!$G$5:$G$19,MATCH($B25,Obras!$A$5:$A$19,0))),""))</x:f>
      </x:c>
      <x:c r="E25" s="259"/>
      <x:c r="F25" s="255"/>
      <x:c r="G25" s="259"/>
      <x:c r="H25" s="259"/>
      <x:c r="I25" s="259"/>
      <x:c r="J25" s="181" t="str">
        <x:f t="shared" si="0"/>
      </x:c>
      <x:c r="K25" s="176" t="str">
        <x:f t="shared" si="1"/>
      </x:c>
      <x:c r="L25" s="181" t="str">
        <x:f>IF($C25="","",IFERROR(IF(INDEX(Catalogo!$H$5:$H$86,MATCH($C25,Catalogo!$A$5:$A$86,0))="","",INDEX(Catalogo!$H$5:$H$86,MATCH($C25,Catalogo!$A$5:$A$86,0))),""))</x:f>
      </x:c>
      <x:c r="M25" s="176" t="str">
        <x:f>IF(OR($B25="",$L25=""),"",IFERROR(IF(INDEX(Obras!$H$5:$H$19,MATCH($B25,Obras!$A$5:$A$19,0))="","",IF(INDEX(Obras!$H$5:$H$19,MATCH($B25,Obras!$A$5:$A$19,0))&gt;$L25,"VENCIDA",IF($L25-INDEX(Obras!$H$5:$H$19,MATCH($B25,Obras!$A$5:$A$19,0))&lt;=0.5,"VENCE EM ATÉ 6 MESES","VIGENTE"))),""))</x:f>
      </x:c>
      <x:c r="N25" s="255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30" customHeight="1">
      <x:c r="A26" s="176" t="str">
        <x:f>IF(OR($B26="",$C26=""),"","LC-"&amp;TEXT(22,"0000"))</x:f>
      </x:c>
      <x:c r="B26" s="259"/>
      <x:c r="C26" s="259"/>
      <x:c r="D26" s="271" t="str">
        <x:f>IF($B26="","",IFERROR(IF(INDEX(Obras!$G$5:$G$19,MATCH($B26,Obras!$A$5:$A$19,0))="","",INDEX(Obras!$G$5:$G$19,MATCH($B26,Obras!$A$5:$A$19,0))),""))</x:f>
      </x:c>
      <x:c r="E26" s="259"/>
      <x:c r="F26" s="255"/>
      <x:c r="G26" s="259"/>
      <x:c r="H26" s="259"/>
      <x:c r="I26" s="259"/>
      <x:c r="J26" s="181" t="str">
        <x:f t="shared" si="0"/>
      </x:c>
      <x:c r="K26" s="176" t="str">
        <x:f t="shared" si="1"/>
      </x:c>
      <x:c r="L26" s="181" t="str">
        <x:f>IF($C26="","",IFERROR(IF(INDEX(Catalogo!$H$5:$H$86,MATCH($C26,Catalogo!$A$5:$A$86,0))="","",INDEX(Catalogo!$H$5:$H$86,MATCH($C26,Catalogo!$A$5:$A$86,0))),""))</x:f>
      </x:c>
      <x:c r="M26" s="176" t="str">
        <x:f>IF(OR($B26="",$L26=""),"",IFERROR(IF(INDEX(Obras!$H$5:$H$19,MATCH($B26,Obras!$A$5:$A$19,0))="","",IF(INDEX(Obras!$H$5:$H$19,MATCH($B26,Obras!$A$5:$A$19,0))&gt;$L26,"VENCIDA",IF($L26-INDEX(Obras!$H$5:$H$19,MATCH($B26,Obras!$A$5:$A$19,0))&lt;=0.5,"VENCE EM ATÉ 6 MESES","VIGENTE"))),""))</x:f>
      </x:c>
      <x:c r="N26" s="255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30" customHeight="1">
      <x:c r="A27" s="176" t="str">
        <x:f>IF(OR($B27="",$C27=""),"","LC-"&amp;TEXT(23,"0000"))</x:f>
      </x:c>
      <x:c r="B27" s="259"/>
      <x:c r="C27" s="259"/>
      <x:c r="D27" s="271" t="str">
        <x:f>IF($B27="","",IFERROR(IF(INDEX(Obras!$G$5:$G$19,MATCH($B27,Obras!$A$5:$A$19,0))="","",INDEX(Obras!$G$5:$G$19,MATCH($B27,Obras!$A$5:$A$19,0))),""))</x:f>
      </x:c>
      <x:c r="E27" s="259"/>
      <x:c r="F27" s="255"/>
      <x:c r="G27" s="259"/>
      <x:c r="H27" s="259"/>
      <x:c r="I27" s="259"/>
      <x:c r="J27" s="181" t="str">
        <x:f t="shared" si="0"/>
      </x:c>
      <x:c r="K27" s="176" t="str">
        <x:f t="shared" si="1"/>
      </x:c>
      <x:c r="L27" s="181" t="str">
        <x:f>IF($C27="","",IFERROR(IF(INDEX(Catalogo!$H$5:$H$86,MATCH($C27,Catalogo!$A$5:$A$86,0))="","",INDEX(Catalogo!$H$5:$H$86,MATCH($C27,Catalogo!$A$5:$A$86,0))),""))</x:f>
      </x:c>
      <x:c r="M27" s="176" t="str">
        <x:f>IF(OR($B27="",$L27=""),"",IFERROR(IF(INDEX(Obras!$H$5:$H$19,MATCH($B27,Obras!$A$5:$A$19,0))="","",IF(INDEX(Obras!$H$5:$H$19,MATCH($B27,Obras!$A$5:$A$19,0))&gt;$L27,"VENCIDA",IF($L27-INDEX(Obras!$H$5:$H$19,MATCH($B27,Obras!$A$5:$A$19,0))&lt;=0.5,"VENCE EM ATÉ 6 MESES","VIGENTE"))),""))</x:f>
      </x:c>
      <x:c r="N27" s="255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30" customHeight="1">
      <x:c r="A28" s="176" t="str">
        <x:f>IF(OR($B28="",$C28=""),"","LC-"&amp;TEXT(24,"0000"))</x:f>
      </x:c>
      <x:c r="B28" s="259"/>
      <x:c r="C28" s="259"/>
      <x:c r="D28" s="271" t="str">
        <x:f>IF($B28="","",IFERROR(IF(INDEX(Obras!$G$5:$G$19,MATCH($B28,Obras!$A$5:$A$19,0))="","",INDEX(Obras!$G$5:$G$19,MATCH($B28,Obras!$A$5:$A$19,0))),""))</x:f>
      </x:c>
      <x:c r="E28" s="259"/>
      <x:c r="F28" s="255"/>
      <x:c r="G28" s="259"/>
      <x:c r="H28" s="259"/>
      <x:c r="I28" s="259"/>
      <x:c r="J28" s="181" t="str">
        <x:f t="shared" si="0"/>
      </x:c>
      <x:c r="K28" s="176" t="str">
        <x:f t="shared" si="1"/>
      </x:c>
      <x:c r="L28" s="181" t="str">
        <x:f>IF($C28="","",IFERROR(IF(INDEX(Catalogo!$H$5:$H$86,MATCH($C28,Catalogo!$A$5:$A$86,0))="","",INDEX(Catalogo!$H$5:$H$86,MATCH($C28,Catalogo!$A$5:$A$86,0))),""))</x:f>
      </x:c>
      <x:c r="M28" s="176" t="str">
        <x:f>IF(OR($B28="",$L28=""),"",IFERROR(IF(INDEX(Obras!$H$5:$H$19,MATCH($B28,Obras!$A$5:$A$19,0))="","",IF(INDEX(Obras!$H$5:$H$19,MATCH($B28,Obras!$A$5:$A$19,0))&gt;$L28,"VENCIDA",IF($L28-INDEX(Obras!$H$5:$H$19,MATCH($B28,Obras!$A$5:$A$19,0))&lt;=0.5,"VENCE EM ATÉ 6 MESES","VIGENTE"))),""))</x:f>
      </x:c>
      <x:c r="N28" s="255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30" customHeight="1">
      <x:c r="A29" s="176" t="str">
        <x:f>IF(OR($B29="",$C29=""),"","LC-"&amp;TEXT(25,"0000"))</x:f>
      </x:c>
      <x:c r="B29" s="259"/>
      <x:c r="C29" s="259"/>
      <x:c r="D29" s="271" t="str">
        <x:f>IF($B29="","",IFERROR(IF(INDEX(Obras!$G$5:$G$19,MATCH($B29,Obras!$A$5:$A$19,0))="","",INDEX(Obras!$G$5:$G$19,MATCH($B29,Obras!$A$5:$A$19,0))),""))</x:f>
      </x:c>
      <x:c r="E29" s="259"/>
      <x:c r="F29" s="255"/>
      <x:c r="G29" s="259"/>
      <x:c r="H29" s="259"/>
      <x:c r="I29" s="259"/>
      <x:c r="J29" s="181" t="str">
        <x:f t="shared" si="0"/>
      </x:c>
      <x:c r="K29" s="176" t="str">
        <x:f t="shared" si="1"/>
      </x:c>
      <x:c r="L29" s="181" t="str">
        <x:f>IF($C29="","",IFERROR(IF(INDEX(Catalogo!$H$5:$H$86,MATCH($C29,Catalogo!$A$5:$A$86,0))="","",INDEX(Catalogo!$H$5:$H$86,MATCH($C29,Catalogo!$A$5:$A$86,0))),""))</x:f>
      </x:c>
      <x:c r="M29" s="176" t="str">
        <x:f>IF(OR($B29="",$L29=""),"",IFERROR(IF(INDEX(Obras!$H$5:$H$19,MATCH($B29,Obras!$A$5:$A$19,0))="","",IF(INDEX(Obras!$H$5:$H$19,MATCH($B29,Obras!$A$5:$A$19,0))&gt;$L29,"VENCIDA",IF($L29-INDEX(Obras!$H$5:$H$19,MATCH($B29,Obras!$A$5:$A$19,0))&lt;=0.5,"VENCE EM ATÉ 6 MESES","VIGENTE"))),""))</x:f>
      </x:c>
      <x:c r="N29" s="255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 ht="30" customHeight="1">
      <x:c r="A30" s="176" t="str">
        <x:f>IF(OR($B30="",$C30=""),"","LC-"&amp;TEXT(26,"0000"))</x:f>
      </x:c>
      <x:c r="B30" s="259"/>
      <x:c r="C30" s="259"/>
      <x:c r="D30" s="271" t="str">
        <x:f>IF($B30="","",IFERROR(IF(INDEX(Obras!$G$5:$G$19,MATCH($B30,Obras!$A$5:$A$19,0))="","",INDEX(Obras!$G$5:$G$19,MATCH($B30,Obras!$A$5:$A$19,0))),""))</x:f>
      </x:c>
      <x:c r="E30" s="259"/>
      <x:c r="F30" s="255"/>
      <x:c r="G30" s="259"/>
      <x:c r="H30" s="259"/>
      <x:c r="I30" s="259"/>
      <x:c r="J30" s="181" t="str">
        <x:f t="shared" si="0"/>
      </x:c>
      <x:c r="K30" s="176" t="str">
        <x:f t="shared" si="1"/>
      </x:c>
      <x:c r="L30" s="181" t="str">
        <x:f>IF($C30="","",IFERROR(IF(INDEX(Catalogo!$H$5:$H$86,MATCH($C30,Catalogo!$A$5:$A$86,0))="","",INDEX(Catalogo!$H$5:$H$86,MATCH($C30,Catalogo!$A$5:$A$86,0))),""))</x:f>
      </x:c>
      <x:c r="M30" s="176" t="str">
        <x:f>IF(OR($B30="",$L30=""),"",IFERROR(IF(INDEX(Obras!$H$5:$H$19,MATCH($B30,Obras!$A$5:$A$19,0))="","",IF(INDEX(Obras!$H$5:$H$19,MATCH($B30,Obras!$A$5:$A$19,0))&gt;$L30,"VENCIDA",IF($L30-INDEX(Obras!$H$5:$H$19,MATCH($B30,Obras!$A$5:$A$19,0))&lt;=0.5,"VENCE EM ATÉ 6 MESES","VIGENTE"))),""))</x:f>
      </x:c>
      <x:c r="N30" s="255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30" customHeight="1">
      <x:c r="A31" s="176" t="str">
        <x:f>IF(OR($B31="",$C31=""),"","LC-"&amp;TEXT(27,"0000"))</x:f>
      </x:c>
      <x:c r="B31" s="259"/>
      <x:c r="C31" s="259"/>
      <x:c r="D31" s="271" t="str">
        <x:f>IF($B31="","",IFERROR(IF(INDEX(Obras!$G$5:$G$19,MATCH($B31,Obras!$A$5:$A$19,0))="","",INDEX(Obras!$G$5:$G$19,MATCH($B31,Obras!$A$5:$A$19,0))),""))</x:f>
      </x:c>
      <x:c r="E31" s="259"/>
      <x:c r="F31" s="255"/>
      <x:c r="G31" s="259"/>
      <x:c r="H31" s="259"/>
      <x:c r="I31" s="259"/>
      <x:c r="J31" s="181" t="str">
        <x:f t="shared" si="0"/>
      </x:c>
      <x:c r="K31" s="176" t="str">
        <x:f t="shared" si="1"/>
      </x:c>
      <x:c r="L31" s="181" t="str">
        <x:f>IF($C31="","",IFERROR(IF(INDEX(Catalogo!$H$5:$H$86,MATCH($C31,Catalogo!$A$5:$A$86,0))="","",INDEX(Catalogo!$H$5:$H$86,MATCH($C31,Catalogo!$A$5:$A$86,0))),""))</x:f>
      </x:c>
      <x:c r="M31" s="176" t="str">
        <x:f>IF(OR($B31="",$L31=""),"",IFERROR(IF(INDEX(Obras!$H$5:$H$19,MATCH($B31,Obras!$A$5:$A$19,0))="","",IF(INDEX(Obras!$H$5:$H$19,MATCH($B31,Obras!$A$5:$A$19,0))&gt;$L31,"VENCIDA",IF($L31-INDEX(Obras!$H$5:$H$19,MATCH($B31,Obras!$A$5:$A$19,0))&lt;=0.5,"VENCE EM ATÉ 6 MESES","VIGENTE"))),""))</x:f>
      </x:c>
      <x:c r="N31" s="255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 ht="30" customHeight="1">
      <x:c r="A32" s="176" t="str">
        <x:f>IF(OR($B32="",$C32=""),"","LC-"&amp;TEXT(28,"0000"))</x:f>
      </x:c>
      <x:c r="B32" s="259"/>
      <x:c r="C32" s="259"/>
      <x:c r="D32" s="271" t="str">
        <x:f>IF($B32="","",IFERROR(IF(INDEX(Obras!$G$5:$G$19,MATCH($B32,Obras!$A$5:$A$19,0))="","",INDEX(Obras!$G$5:$G$19,MATCH($B32,Obras!$A$5:$A$19,0))),""))</x:f>
      </x:c>
      <x:c r="E32" s="259"/>
      <x:c r="F32" s="255"/>
      <x:c r="G32" s="259"/>
      <x:c r="H32" s="259"/>
      <x:c r="I32" s="259"/>
      <x:c r="J32" s="181" t="str">
        <x:f t="shared" si="0"/>
      </x:c>
      <x:c r="K32" s="176" t="str">
        <x:f t="shared" si="1"/>
      </x:c>
      <x:c r="L32" s="181" t="str">
        <x:f>IF($C32="","",IFERROR(IF(INDEX(Catalogo!$H$5:$H$86,MATCH($C32,Catalogo!$A$5:$A$86,0))="","",INDEX(Catalogo!$H$5:$H$86,MATCH($C32,Catalogo!$A$5:$A$86,0))),""))</x:f>
      </x:c>
      <x:c r="M32" s="176" t="str">
        <x:f>IF(OR($B32="",$L32=""),"",IFERROR(IF(INDEX(Obras!$H$5:$H$19,MATCH($B32,Obras!$A$5:$A$19,0))="","",IF(INDEX(Obras!$H$5:$H$19,MATCH($B32,Obras!$A$5:$A$19,0))&gt;$L32,"VENCIDA",IF($L32-INDEX(Obras!$H$5:$H$19,MATCH($B32,Obras!$A$5:$A$19,0))&lt;=0.5,"VENCE EM ATÉ 6 MESES","VIGENTE"))),""))</x:f>
      </x:c>
      <x:c r="N32" s="255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 ht="30" customHeight="1">
      <x:c r="A33" s="176" t="str">
        <x:f>IF(OR($B33="",$C33=""),"","LC-"&amp;TEXT(29,"0000"))</x:f>
      </x:c>
      <x:c r="B33" s="259"/>
      <x:c r="C33" s="259"/>
      <x:c r="D33" s="271" t="str">
        <x:f>IF($B33="","",IFERROR(IF(INDEX(Obras!$G$5:$G$19,MATCH($B33,Obras!$A$5:$A$19,0))="","",INDEX(Obras!$G$5:$G$19,MATCH($B33,Obras!$A$5:$A$19,0))),""))</x:f>
      </x:c>
      <x:c r="E33" s="259"/>
      <x:c r="F33" s="255"/>
      <x:c r="G33" s="259"/>
      <x:c r="H33" s="259"/>
      <x:c r="I33" s="259"/>
      <x:c r="J33" s="181" t="str">
        <x:f t="shared" si="0"/>
      </x:c>
      <x:c r="K33" s="176" t="str">
        <x:f t="shared" si="1"/>
      </x:c>
      <x:c r="L33" s="181" t="str">
        <x:f>IF($C33="","",IFERROR(IF(INDEX(Catalogo!$H$5:$H$86,MATCH($C33,Catalogo!$A$5:$A$86,0))="","",INDEX(Catalogo!$H$5:$H$86,MATCH($C33,Catalogo!$A$5:$A$86,0))),""))</x:f>
      </x:c>
      <x:c r="M33" s="176" t="str">
        <x:f>IF(OR($B33="",$L33=""),"",IFERROR(IF(INDEX(Obras!$H$5:$H$19,MATCH($B33,Obras!$A$5:$A$19,0))="","",IF(INDEX(Obras!$H$5:$H$19,MATCH($B33,Obras!$A$5:$A$19,0))&gt;$L33,"VENCIDA",IF($L33-INDEX(Obras!$H$5:$H$19,MATCH($B33,Obras!$A$5:$A$19,0))&lt;=0.5,"VENCE EM ATÉ 6 MESES","VIGENTE"))),""))</x:f>
      </x:c>
      <x:c r="N33" s="255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 ht="30" customHeight="1">
      <x:c r="A34" s="176" t="str">
        <x:f>IF(OR($B34="",$C34=""),"","LC-"&amp;TEXT(30,"0000"))</x:f>
      </x:c>
      <x:c r="B34" s="259"/>
      <x:c r="C34" s="259"/>
      <x:c r="D34" s="271" t="str">
        <x:f>IF($B34="","",IFERROR(IF(INDEX(Obras!$G$5:$G$19,MATCH($B34,Obras!$A$5:$A$19,0))="","",INDEX(Obras!$G$5:$G$19,MATCH($B34,Obras!$A$5:$A$19,0))),""))</x:f>
      </x:c>
      <x:c r="E34" s="259"/>
      <x:c r="F34" s="255"/>
      <x:c r="G34" s="259"/>
      <x:c r="H34" s="259"/>
      <x:c r="I34" s="259"/>
      <x:c r="J34" s="181" t="str">
        <x:f t="shared" si="0"/>
      </x:c>
      <x:c r="K34" s="176" t="str">
        <x:f t="shared" si="1"/>
      </x:c>
      <x:c r="L34" s="181" t="str">
        <x:f>IF($C34="","",IFERROR(IF(INDEX(Catalogo!$H$5:$H$86,MATCH($C34,Catalogo!$A$5:$A$86,0))="","",INDEX(Catalogo!$H$5:$H$86,MATCH($C34,Catalogo!$A$5:$A$86,0))),""))</x:f>
      </x:c>
      <x:c r="M34" s="176" t="str">
        <x:f>IF(OR($B34="",$L34=""),"",IFERROR(IF(INDEX(Obras!$H$5:$H$19,MATCH($B34,Obras!$A$5:$A$19,0))="","",IF(INDEX(Obras!$H$5:$H$19,MATCH($B34,Obras!$A$5:$A$19,0))&gt;$L34,"VENCIDA",IF($L34-INDEX(Obras!$H$5:$H$19,MATCH($B34,Obras!$A$5:$A$19,0))&lt;=0.5,"VENCE EM ATÉ 6 MESES","VIGENTE"))),""))</x:f>
      </x:c>
      <x:c r="N34" s="255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 ht="30" customHeight="1">
      <x:c r="A35" s="176" t="str">
        <x:f>IF(OR($B35="",$C35=""),"","LC-"&amp;TEXT(31,"0000"))</x:f>
      </x:c>
      <x:c r="B35" s="259"/>
      <x:c r="C35" s="259"/>
      <x:c r="D35" s="271" t="str">
        <x:f>IF($B35="","",IFERROR(IF(INDEX(Obras!$G$5:$G$19,MATCH($B35,Obras!$A$5:$A$19,0))="","",INDEX(Obras!$G$5:$G$19,MATCH($B35,Obras!$A$5:$A$19,0))),""))</x:f>
      </x:c>
      <x:c r="E35" s="259"/>
      <x:c r="F35" s="255"/>
      <x:c r="G35" s="259"/>
      <x:c r="H35" s="259"/>
      <x:c r="I35" s="259"/>
      <x:c r="J35" s="181" t="str">
        <x:f t="shared" si="0"/>
      </x:c>
      <x:c r="K35" s="176" t="str">
        <x:f t="shared" si="1"/>
      </x:c>
      <x:c r="L35" s="181" t="str">
        <x:f>IF($C35="","",IFERROR(IF(INDEX(Catalogo!$H$5:$H$86,MATCH($C35,Catalogo!$A$5:$A$86,0))="","",INDEX(Catalogo!$H$5:$H$86,MATCH($C35,Catalogo!$A$5:$A$86,0))),""))</x:f>
      </x:c>
      <x:c r="M35" s="176" t="str">
        <x:f>IF(OR($B35="",$L35=""),"",IFERROR(IF(INDEX(Obras!$H$5:$H$19,MATCH($B35,Obras!$A$5:$A$19,0))="","",IF(INDEX(Obras!$H$5:$H$19,MATCH($B35,Obras!$A$5:$A$19,0))&gt;$L35,"VENCIDA",IF($L35-INDEX(Obras!$H$5:$H$19,MATCH($B35,Obras!$A$5:$A$19,0))&lt;=0.5,"VENCE EM ATÉ 6 MESES","VIGENTE"))),""))</x:f>
      </x:c>
      <x:c r="N35" s="255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 ht="30" customHeight="1">
      <x:c r="A36" s="176" t="str">
        <x:f>IF(OR($B36="",$C36=""),"","LC-"&amp;TEXT(32,"0000"))</x:f>
      </x:c>
      <x:c r="B36" s="259"/>
      <x:c r="C36" s="259"/>
      <x:c r="D36" s="271" t="str">
        <x:f>IF($B36="","",IFERROR(IF(INDEX(Obras!$G$5:$G$19,MATCH($B36,Obras!$A$5:$A$19,0))="","",INDEX(Obras!$G$5:$G$19,MATCH($B36,Obras!$A$5:$A$19,0))),""))</x:f>
      </x:c>
      <x:c r="E36" s="259"/>
      <x:c r="F36" s="255"/>
      <x:c r="G36" s="259"/>
      <x:c r="H36" s="259"/>
      <x:c r="I36" s="259"/>
      <x:c r="J36" s="181" t="str">
        <x:f t="shared" si="0"/>
      </x:c>
      <x:c r="K36" s="176" t="str">
        <x:f t="shared" si="1"/>
      </x:c>
      <x:c r="L36" s="181" t="str">
        <x:f>IF($C36="","",IFERROR(IF(INDEX(Catalogo!$H$5:$H$86,MATCH($C36,Catalogo!$A$5:$A$86,0))="","",INDEX(Catalogo!$H$5:$H$86,MATCH($C36,Catalogo!$A$5:$A$86,0))),""))</x:f>
      </x:c>
      <x:c r="M36" s="176" t="str">
        <x:f>IF(OR($B36="",$L36=""),"",IFERROR(IF(INDEX(Obras!$H$5:$H$19,MATCH($B36,Obras!$A$5:$A$19,0))="","",IF(INDEX(Obras!$H$5:$H$19,MATCH($B36,Obras!$A$5:$A$19,0))&gt;$L36,"VENCIDA",IF($L36-INDEX(Obras!$H$5:$H$19,MATCH($B36,Obras!$A$5:$A$19,0))&lt;=0.5,"VENCE EM ATÉ 6 MESES","VIGENTE"))),""))</x:f>
      </x:c>
      <x:c r="N36" s="255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 ht="30" customHeight="1">
      <x:c r="A37" s="176" t="str">
        <x:f>IF(OR($B37="",$C37=""),"","LC-"&amp;TEXT(33,"0000"))</x:f>
      </x:c>
      <x:c r="B37" s="259"/>
      <x:c r="C37" s="259"/>
      <x:c r="D37" s="271" t="str">
        <x:f>IF($B37="","",IFERROR(IF(INDEX(Obras!$G$5:$G$19,MATCH($B37,Obras!$A$5:$A$19,0))="","",INDEX(Obras!$G$5:$G$19,MATCH($B37,Obras!$A$5:$A$19,0))),""))</x:f>
      </x:c>
      <x:c r="E37" s="259"/>
      <x:c r="F37" s="255"/>
      <x:c r="G37" s="259"/>
      <x:c r="H37" s="259"/>
      <x:c r="I37" s="259"/>
      <x:c r="J37" s="181" t="str">
        <x:f t="shared" si="0"/>
      </x:c>
      <x:c r="K37" s="176" t="str">
        <x:f t="shared" si="1"/>
      </x:c>
      <x:c r="L37" s="181" t="str">
        <x:f>IF($C37="","",IFERROR(IF(INDEX(Catalogo!$H$5:$H$86,MATCH($C37,Catalogo!$A$5:$A$86,0))="","",INDEX(Catalogo!$H$5:$H$86,MATCH($C37,Catalogo!$A$5:$A$86,0))),""))</x:f>
      </x:c>
      <x:c r="M37" s="176" t="str">
        <x:f>IF(OR($B37="",$L37=""),"",IFERROR(IF(INDEX(Obras!$H$5:$H$19,MATCH($B37,Obras!$A$5:$A$19,0))="","",IF(INDEX(Obras!$H$5:$H$19,MATCH($B37,Obras!$A$5:$A$19,0))&gt;$L37,"VENCIDA",IF($L37-INDEX(Obras!$H$5:$H$19,MATCH($B37,Obras!$A$5:$A$19,0))&lt;=0.5,"VENCE EM ATÉ 6 MESES","VIGENTE"))),""))</x:f>
      </x:c>
      <x:c r="N37" s="255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 ht="30" customHeight="1">
      <x:c r="A38" s="176" t="str">
        <x:f>IF(OR($B38="",$C38=""),"","LC-"&amp;TEXT(34,"0000"))</x:f>
      </x:c>
      <x:c r="B38" s="259"/>
      <x:c r="C38" s="259"/>
      <x:c r="D38" s="271" t="str">
        <x:f>IF($B38="","",IFERROR(IF(INDEX(Obras!$G$5:$G$19,MATCH($B38,Obras!$A$5:$A$19,0))="","",INDEX(Obras!$G$5:$G$19,MATCH($B38,Obras!$A$5:$A$19,0))),""))</x:f>
      </x:c>
      <x:c r="E38" s="259"/>
      <x:c r="F38" s="255"/>
      <x:c r="G38" s="259"/>
      <x:c r="H38" s="259"/>
      <x:c r="I38" s="259"/>
      <x:c r="J38" s="181" t="str">
        <x:f t="shared" si="0"/>
      </x:c>
      <x:c r="K38" s="176" t="str">
        <x:f t="shared" si="1"/>
      </x:c>
      <x:c r="L38" s="181" t="str">
        <x:f>IF($C38="","",IFERROR(IF(INDEX(Catalogo!$H$5:$H$86,MATCH($C38,Catalogo!$A$5:$A$86,0))="","",INDEX(Catalogo!$H$5:$H$86,MATCH($C38,Catalogo!$A$5:$A$86,0))),""))</x:f>
      </x:c>
      <x:c r="M38" s="176" t="str">
        <x:f>IF(OR($B38="",$L38=""),"",IFERROR(IF(INDEX(Obras!$H$5:$H$19,MATCH($B38,Obras!$A$5:$A$19,0))="","",IF(INDEX(Obras!$H$5:$H$19,MATCH($B38,Obras!$A$5:$A$19,0))&gt;$L38,"VENCIDA",IF($L38-INDEX(Obras!$H$5:$H$19,MATCH($B38,Obras!$A$5:$A$19,0))&lt;=0.5,"VENCE EM ATÉ 6 MESES","VIGENTE"))),""))</x:f>
      </x:c>
      <x:c r="N38" s="255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 ht="30" customHeight="1">
      <x:c r="A39" s="176" t="str">
        <x:f>IF(OR($B39="",$C39=""),"","LC-"&amp;TEXT(35,"0000"))</x:f>
      </x:c>
      <x:c r="B39" s="259"/>
      <x:c r="C39" s="259"/>
      <x:c r="D39" s="271" t="str">
        <x:f>IF($B39="","",IFERROR(IF(INDEX(Obras!$G$5:$G$19,MATCH($B39,Obras!$A$5:$A$19,0))="","",INDEX(Obras!$G$5:$G$19,MATCH($B39,Obras!$A$5:$A$19,0))),""))</x:f>
      </x:c>
      <x:c r="E39" s="259"/>
      <x:c r="F39" s="255"/>
      <x:c r="G39" s="259"/>
      <x:c r="H39" s="259"/>
      <x:c r="I39" s="259"/>
      <x:c r="J39" s="181" t="str">
        <x:f t="shared" si="0"/>
      </x:c>
      <x:c r="K39" s="176" t="str">
        <x:f t="shared" si="1"/>
      </x:c>
      <x:c r="L39" s="181" t="str">
        <x:f>IF($C39="","",IFERROR(IF(INDEX(Catalogo!$H$5:$H$86,MATCH($C39,Catalogo!$A$5:$A$86,0))="","",INDEX(Catalogo!$H$5:$H$86,MATCH($C39,Catalogo!$A$5:$A$86,0))),""))</x:f>
      </x:c>
      <x:c r="M39" s="176" t="str">
        <x:f>IF(OR($B39="",$L39=""),"",IFERROR(IF(INDEX(Obras!$H$5:$H$19,MATCH($B39,Obras!$A$5:$A$19,0))="","",IF(INDEX(Obras!$H$5:$H$19,MATCH($B39,Obras!$A$5:$A$19,0))&gt;$L39,"VENCIDA",IF($L39-INDEX(Obras!$H$5:$H$19,MATCH($B39,Obras!$A$5:$A$19,0))&lt;=0.5,"VENCE EM ATÉ 6 MESES","VIGENTE"))),""))</x:f>
      </x:c>
      <x:c r="N39" s="255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 ht="30" customHeight="1">
      <x:c r="A40" s="176" t="str">
        <x:f>IF(OR($B40="",$C40=""),"","LC-"&amp;TEXT(36,"0000"))</x:f>
      </x:c>
      <x:c r="B40" s="259"/>
      <x:c r="C40" s="259"/>
      <x:c r="D40" s="271" t="str">
        <x:f>IF($B40="","",IFERROR(IF(INDEX(Obras!$G$5:$G$19,MATCH($B40,Obras!$A$5:$A$19,0))="","",INDEX(Obras!$G$5:$G$19,MATCH($B40,Obras!$A$5:$A$19,0))),""))</x:f>
      </x:c>
      <x:c r="E40" s="259"/>
      <x:c r="F40" s="255"/>
      <x:c r="G40" s="259"/>
      <x:c r="H40" s="259"/>
      <x:c r="I40" s="259"/>
      <x:c r="J40" s="181" t="str">
        <x:f t="shared" si="0"/>
      </x:c>
      <x:c r="K40" s="176" t="str">
        <x:f t="shared" si="1"/>
      </x:c>
      <x:c r="L40" s="181" t="str">
        <x:f>IF($C40="","",IFERROR(IF(INDEX(Catalogo!$H$5:$H$86,MATCH($C40,Catalogo!$A$5:$A$86,0))="","",INDEX(Catalogo!$H$5:$H$86,MATCH($C40,Catalogo!$A$5:$A$86,0))),""))</x:f>
      </x:c>
      <x:c r="M40" s="176" t="str">
        <x:f>IF(OR($B40="",$L40=""),"",IFERROR(IF(INDEX(Obras!$H$5:$H$19,MATCH($B40,Obras!$A$5:$A$19,0))="","",IF(INDEX(Obras!$H$5:$H$19,MATCH($B40,Obras!$A$5:$A$19,0))&gt;$L40,"VENCIDA",IF($L40-INDEX(Obras!$H$5:$H$19,MATCH($B40,Obras!$A$5:$A$19,0))&lt;=0.5,"VENCE EM ATÉ 6 MESES","VIGENTE"))),""))</x:f>
      </x:c>
      <x:c r="N40" s="255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 ht="30" customHeight="1">
      <x:c r="A41" s="176" t="str">
        <x:f>IF(OR($B41="",$C41=""),"","LC-"&amp;TEXT(37,"0000"))</x:f>
      </x:c>
      <x:c r="B41" s="259"/>
      <x:c r="C41" s="259"/>
      <x:c r="D41" s="271" t="str">
        <x:f>IF($B41="","",IFERROR(IF(INDEX(Obras!$G$5:$G$19,MATCH($B41,Obras!$A$5:$A$19,0))="","",INDEX(Obras!$G$5:$G$19,MATCH($B41,Obras!$A$5:$A$19,0))),""))</x:f>
      </x:c>
      <x:c r="E41" s="259"/>
      <x:c r="F41" s="255"/>
      <x:c r="G41" s="259"/>
      <x:c r="H41" s="259"/>
      <x:c r="I41" s="259"/>
      <x:c r="J41" s="181" t="str">
        <x:f t="shared" si="0"/>
      </x:c>
      <x:c r="K41" s="176" t="str">
        <x:f t="shared" si="1"/>
      </x:c>
      <x:c r="L41" s="181" t="str">
        <x:f>IF($C41="","",IFERROR(IF(INDEX(Catalogo!$H$5:$H$86,MATCH($C41,Catalogo!$A$5:$A$86,0))="","",INDEX(Catalogo!$H$5:$H$86,MATCH($C41,Catalogo!$A$5:$A$86,0))),""))</x:f>
      </x:c>
      <x:c r="M41" s="176" t="str">
        <x:f>IF(OR($B41="",$L41=""),"",IFERROR(IF(INDEX(Obras!$H$5:$H$19,MATCH($B41,Obras!$A$5:$A$19,0))="","",IF(INDEX(Obras!$H$5:$H$19,MATCH($B41,Obras!$A$5:$A$19,0))&gt;$L41,"VENCIDA",IF($L41-INDEX(Obras!$H$5:$H$19,MATCH($B41,Obras!$A$5:$A$19,0))&lt;=0.5,"VENCE EM ATÉ 6 MESES","VIGENTE"))),""))</x:f>
      </x:c>
      <x:c r="N41" s="255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 ht="30" customHeight="1">
      <x:c r="A42" s="176" t="str">
        <x:f>IF(OR($B42="",$C42=""),"","LC-"&amp;TEXT(38,"0000"))</x:f>
      </x:c>
      <x:c r="B42" s="259"/>
      <x:c r="C42" s="259"/>
      <x:c r="D42" s="271" t="str">
        <x:f>IF($B42="","",IFERROR(IF(INDEX(Obras!$G$5:$G$19,MATCH($B42,Obras!$A$5:$A$19,0))="","",INDEX(Obras!$G$5:$G$19,MATCH($B42,Obras!$A$5:$A$19,0))),""))</x:f>
      </x:c>
      <x:c r="E42" s="259"/>
      <x:c r="F42" s="255"/>
      <x:c r="G42" s="259"/>
      <x:c r="H42" s="259"/>
      <x:c r="I42" s="259"/>
      <x:c r="J42" s="181" t="str">
        <x:f t="shared" si="0"/>
      </x:c>
      <x:c r="K42" s="176" t="str">
        <x:f t="shared" si="1"/>
      </x:c>
      <x:c r="L42" s="181" t="str">
        <x:f>IF($C42="","",IFERROR(IF(INDEX(Catalogo!$H$5:$H$86,MATCH($C42,Catalogo!$A$5:$A$86,0))="","",INDEX(Catalogo!$H$5:$H$86,MATCH($C42,Catalogo!$A$5:$A$86,0))),""))</x:f>
      </x:c>
      <x:c r="M42" s="176" t="str">
        <x:f>IF(OR($B42="",$L42=""),"",IFERROR(IF(INDEX(Obras!$H$5:$H$19,MATCH($B42,Obras!$A$5:$A$19,0))="","",IF(INDEX(Obras!$H$5:$H$19,MATCH($B42,Obras!$A$5:$A$19,0))&gt;$L42,"VENCIDA",IF($L42-INDEX(Obras!$H$5:$H$19,MATCH($B42,Obras!$A$5:$A$19,0))&lt;=0.5,"VENCE EM ATÉ 6 MESES","VIGENTE"))),""))</x:f>
      </x:c>
      <x:c r="N42" s="255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 ht="30" customHeight="1">
      <x:c r="A43" s="176" t="str">
        <x:f>IF(OR($B43="",$C43=""),"","LC-"&amp;TEXT(39,"0000"))</x:f>
      </x:c>
      <x:c r="B43" s="259"/>
      <x:c r="C43" s="259"/>
      <x:c r="D43" s="271" t="str">
        <x:f>IF($B43="","",IFERROR(IF(INDEX(Obras!$G$5:$G$19,MATCH($B43,Obras!$A$5:$A$19,0))="","",INDEX(Obras!$G$5:$G$19,MATCH($B43,Obras!$A$5:$A$19,0))),""))</x:f>
      </x:c>
      <x:c r="E43" s="259"/>
      <x:c r="F43" s="255"/>
      <x:c r="G43" s="259"/>
      <x:c r="H43" s="259"/>
      <x:c r="I43" s="259"/>
      <x:c r="J43" s="181" t="str">
        <x:f t="shared" si="0"/>
      </x:c>
      <x:c r="K43" s="176" t="str">
        <x:f t="shared" si="1"/>
      </x:c>
      <x:c r="L43" s="181" t="str">
        <x:f>IF($C43="","",IFERROR(IF(INDEX(Catalogo!$H$5:$H$86,MATCH($C43,Catalogo!$A$5:$A$86,0))="","",INDEX(Catalogo!$H$5:$H$86,MATCH($C43,Catalogo!$A$5:$A$86,0))),""))</x:f>
      </x:c>
      <x:c r="M43" s="176" t="str">
        <x:f>IF(OR($B43="",$L43=""),"",IFERROR(IF(INDEX(Obras!$H$5:$H$19,MATCH($B43,Obras!$A$5:$A$19,0))="","",IF(INDEX(Obras!$H$5:$H$19,MATCH($B43,Obras!$A$5:$A$19,0))&gt;$L43,"VENCIDA",IF($L43-INDEX(Obras!$H$5:$H$19,MATCH($B43,Obras!$A$5:$A$19,0))&lt;=0.5,"VENCE EM ATÉ 6 MESES","VIGENTE"))),""))</x:f>
      </x:c>
      <x:c r="N43" s="255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 ht="30" customHeight="1">
      <x:c r="A44" s="176" t="str">
        <x:f>IF(OR($B44="",$C44=""),"","LC-"&amp;TEXT(40,"0000"))</x:f>
      </x:c>
      <x:c r="B44" s="259"/>
      <x:c r="C44" s="259"/>
      <x:c r="D44" s="271" t="str">
        <x:f>IF($B44="","",IFERROR(IF(INDEX(Obras!$G$5:$G$19,MATCH($B44,Obras!$A$5:$A$19,0))="","",INDEX(Obras!$G$5:$G$19,MATCH($B44,Obras!$A$5:$A$19,0))),""))</x:f>
      </x:c>
      <x:c r="E44" s="259"/>
      <x:c r="F44" s="255"/>
      <x:c r="G44" s="259"/>
      <x:c r="H44" s="259"/>
      <x:c r="I44" s="259"/>
      <x:c r="J44" s="181" t="str">
        <x:f t="shared" si="0"/>
      </x:c>
      <x:c r="K44" s="176" t="str">
        <x:f t="shared" si="1"/>
      </x:c>
      <x:c r="L44" s="181" t="str">
        <x:f>IF($C44="","",IFERROR(IF(INDEX(Catalogo!$H$5:$H$86,MATCH($C44,Catalogo!$A$5:$A$86,0))="","",INDEX(Catalogo!$H$5:$H$86,MATCH($C44,Catalogo!$A$5:$A$86,0))),""))</x:f>
      </x:c>
      <x:c r="M44" s="176" t="str">
        <x:f>IF(OR($B44="",$L44=""),"",IFERROR(IF(INDEX(Obras!$H$5:$H$19,MATCH($B44,Obras!$A$5:$A$19,0))="","",IF(INDEX(Obras!$H$5:$H$19,MATCH($B44,Obras!$A$5:$A$19,0))&gt;$L44,"VENCIDA",IF($L44-INDEX(Obras!$H$5:$H$19,MATCH($B44,Obras!$A$5:$A$19,0))&lt;=0.5,"VENCE EM ATÉ 6 MESES","VIGENTE"))),""))</x:f>
      </x:c>
      <x:c r="N44" s="255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 ht="30" customHeight="1">
      <x:c r="A45" s="176" t="str">
        <x:f>IF(OR($B45="",$C45=""),"","LC-"&amp;TEXT(41,"0000"))</x:f>
      </x:c>
      <x:c r="B45" s="259"/>
      <x:c r="C45" s="259"/>
      <x:c r="D45" s="271" t="str">
        <x:f>IF($B45="","",IFERROR(IF(INDEX(Obras!$G$5:$G$19,MATCH($B45,Obras!$A$5:$A$19,0))="","",INDEX(Obras!$G$5:$G$19,MATCH($B45,Obras!$A$5:$A$19,0))),""))</x:f>
      </x:c>
      <x:c r="E45" s="259"/>
      <x:c r="F45" s="255"/>
      <x:c r="G45" s="259"/>
      <x:c r="H45" s="259"/>
      <x:c r="I45" s="259"/>
      <x:c r="J45" s="181" t="str">
        <x:f t="shared" si="0"/>
      </x:c>
      <x:c r="K45" s="176" t="str">
        <x:f t="shared" si="1"/>
      </x:c>
      <x:c r="L45" s="181" t="str">
        <x:f>IF($C45="","",IFERROR(IF(INDEX(Catalogo!$H$5:$H$86,MATCH($C45,Catalogo!$A$5:$A$86,0))="","",INDEX(Catalogo!$H$5:$H$86,MATCH($C45,Catalogo!$A$5:$A$86,0))),""))</x:f>
      </x:c>
      <x:c r="M45" s="176" t="str">
        <x:f>IF(OR($B45="",$L45=""),"",IFERROR(IF(INDEX(Obras!$H$5:$H$19,MATCH($B45,Obras!$A$5:$A$19,0))="","",IF(INDEX(Obras!$H$5:$H$19,MATCH($B45,Obras!$A$5:$A$19,0))&gt;$L45,"VENCIDA",IF($L45-INDEX(Obras!$H$5:$H$19,MATCH($B45,Obras!$A$5:$A$19,0))&lt;=0.5,"VENCE EM ATÉ 6 MESES","VIGENTE"))),""))</x:f>
      </x:c>
      <x:c r="N45" s="255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 ht="30" customHeight="1">
      <x:c r="A46" s="176" t="str">
        <x:f>IF(OR($B46="",$C46=""),"","LC-"&amp;TEXT(42,"0000"))</x:f>
      </x:c>
      <x:c r="B46" s="259"/>
      <x:c r="C46" s="259"/>
      <x:c r="D46" s="271" t="str">
        <x:f>IF($B46="","",IFERROR(IF(INDEX(Obras!$G$5:$G$19,MATCH($B46,Obras!$A$5:$A$19,0))="","",INDEX(Obras!$G$5:$G$19,MATCH($B46,Obras!$A$5:$A$19,0))),""))</x:f>
      </x:c>
      <x:c r="E46" s="259"/>
      <x:c r="F46" s="255"/>
      <x:c r="G46" s="259"/>
      <x:c r="H46" s="259"/>
      <x:c r="I46" s="259"/>
      <x:c r="J46" s="181" t="str">
        <x:f t="shared" si="0"/>
      </x:c>
      <x:c r="K46" s="176" t="str">
        <x:f t="shared" si="1"/>
      </x:c>
      <x:c r="L46" s="181" t="str">
        <x:f>IF($C46="","",IFERROR(IF(INDEX(Catalogo!$H$5:$H$86,MATCH($C46,Catalogo!$A$5:$A$86,0))="","",INDEX(Catalogo!$H$5:$H$86,MATCH($C46,Catalogo!$A$5:$A$86,0))),""))</x:f>
      </x:c>
      <x:c r="M46" s="176" t="str">
        <x:f>IF(OR($B46="",$L46=""),"",IFERROR(IF(INDEX(Obras!$H$5:$H$19,MATCH($B46,Obras!$A$5:$A$19,0))="","",IF(INDEX(Obras!$H$5:$H$19,MATCH($B46,Obras!$A$5:$A$19,0))&gt;$L46,"VENCIDA",IF($L46-INDEX(Obras!$H$5:$H$19,MATCH($B46,Obras!$A$5:$A$19,0))&lt;=0.5,"VENCE EM ATÉ 6 MESES","VIGENTE"))),""))</x:f>
      </x:c>
      <x:c r="N46" s="255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 ht="30" customHeight="1">
      <x:c r="A47" s="176" t="str">
        <x:f>IF(OR($B47="",$C47=""),"","LC-"&amp;TEXT(43,"0000"))</x:f>
      </x:c>
      <x:c r="B47" s="259"/>
      <x:c r="C47" s="259"/>
      <x:c r="D47" s="271" t="str">
        <x:f>IF($B47="","",IFERROR(IF(INDEX(Obras!$G$5:$G$19,MATCH($B47,Obras!$A$5:$A$19,0))="","",INDEX(Obras!$G$5:$G$19,MATCH($B47,Obras!$A$5:$A$19,0))),""))</x:f>
      </x:c>
      <x:c r="E47" s="259"/>
      <x:c r="F47" s="255"/>
      <x:c r="G47" s="259"/>
      <x:c r="H47" s="259"/>
      <x:c r="I47" s="259"/>
      <x:c r="J47" s="181" t="str">
        <x:f t="shared" si="0"/>
      </x:c>
      <x:c r="K47" s="176" t="str">
        <x:f t="shared" si="1"/>
      </x:c>
      <x:c r="L47" s="181" t="str">
        <x:f>IF($C47="","",IFERROR(IF(INDEX(Catalogo!$H$5:$H$86,MATCH($C47,Catalogo!$A$5:$A$86,0))="","",INDEX(Catalogo!$H$5:$H$86,MATCH($C47,Catalogo!$A$5:$A$86,0))),""))</x:f>
      </x:c>
      <x:c r="M47" s="176" t="str">
        <x:f>IF(OR($B47="",$L47=""),"",IFERROR(IF(INDEX(Obras!$H$5:$H$19,MATCH($B47,Obras!$A$5:$A$19,0))="","",IF(INDEX(Obras!$H$5:$H$19,MATCH($B47,Obras!$A$5:$A$19,0))&gt;$L47,"VENCIDA",IF($L47-INDEX(Obras!$H$5:$H$19,MATCH($B47,Obras!$A$5:$A$19,0))&lt;=0.5,"VENCE EM ATÉ 6 MESES","VIGENTE"))),""))</x:f>
      </x:c>
      <x:c r="N47" s="255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 ht="30" customHeight="1">
      <x:c r="A48" s="176" t="str">
        <x:f>IF(OR($B48="",$C48=""),"","LC-"&amp;TEXT(44,"0000"))</x:f>
      </x:c>
      <x:c r="B48" s="259"/>
      <x:c r="C48" s="259"/>
      <x:c r="D48" s="271" t="str">
        <x:f>IF($B48="","",IFERROR(IF(INDEX(Obras!$G$5:$G$19,MATCH($B48,Obras!$A$5:$A$19,0))="","",INDEX(Obras!$G$5:$G$19,MATCH($B48,Obras!$A$5:$A$19,0))),""))</x:f>
      </x:c>
      <x:c r="E48" s="259"/>
      <x:c r="F48" s="255"/>
      <x:c r="G48" s="259"/>
      <x:c r="H48" s="259"/>
      <x:c r="I48" s="259"/>
      <x:c r="J48" s="181" t="str">
        <x:f t="shared" si="0"/>
      </x:c>
      <x:c r="K48" s="176" t="str">
        <x:f t="shared" si="1"/>
      </x:c>
      <x:c r="L48" s="181" t="str">
        <x:f>IF($C48="","",IFERROR(IF(INDEX(Catalogo!$H$5:$H$86,MATCH($C48,Catalogo!$A$5:$A$86,0))="","",INDEX(Catalogo!$H$5:$H$86,MATCH($C48,Catalogo!$A$5:$A$86,0))),""))</x:f>
      </x:c>
      <x:c r="M48" s="176" t="str">
        <x:f>IF(OR($B48="",$L48=""),"",IFERROR(IF(INDEX(Obras!$H$5:$H$19,MATCH($B48,Obras!$A$5:$A$19,0))="","",IF(INDEX(Obras!$H$5:$H$19,MATCH($B48,Obras!$A$5:$A$19,0))&gt;$L48,"VENCIDA",IF($L48-INDEX(Obras!$H$5:$H$19,MATCH($B48,Obras!$A$5:$A$19,0))&lt;=0.5,"VENCE EM ATÉ 6 MESES","VIGENTE"))),""))</x:f>
      </x:c>
      <x:c r="N48" s="255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 ht="30" customHeight="1">
      <x:c r="A49" s="176" t="str">
        <x:f>IF(OR($B49="",$C49=""),"","LC-"&amp;TEXT(45,"0000"))</x:f>
      </x:c>
      <x:c r="B49" s="259"/>
      <x:c r="C49" s="259"/>
      <x:c r="D49" s="271" t="str">
        <x:f>IF($B49="","",IFERROR(IF(INDEX(Obras!$G$5:$G$19,MATCH($B49,Obras!$A$5:$A$19,0))="","",INDEX(Obras!$G$5:$G$19,MATCH($B49,Obras!$A$5:$A$19,0))),""))</x:f>
      </x:c>
      <x:c r="E49" s="259"/>
      <x:c r="F49" s="255"/>
      <x:c r="G49" s="259"/>
      <x:c r="H49" s="259"/>
      <x:c r="I49" s="259"/>
      <x:c r="J49" s="181" t="str">
        <x:f t="shared" si="0"/>
      </x:c>
      <x:c r="K49" s="176" t="str">
        <x:f t="shared" si="1"/>
      </x:c>
      <x:c r="L49" s="181" t="str">
        <x:f>IF($C49="","",IFERROR(IF(INDEX(Catalogo!$H$5:$H$86,MATCH($C49,Catalogo!$A$5:$A$86,0))="","",INDEX(Catalogo!$H$5:$H$86,MATCH($C49,Catalogo!$A$5:$A$86,0))),""))</x:f>
      </x:c>
      <x:c r="M49" s="176" t="str">
        <x:f>IF(OR($B49="",$L49=""),"",IFERROR(IF(INDEX(Obras!$H$5:$H$19,MATCH($B49,Obras!$A$5:$A$19,0))="","",IF(INDEX(Obras!$H$5:$H$19,MATCH($B49,Obras!$A$5:$A$19,0))&gt;$L49,"VENCIDA",IF($L49-INDEX(Obras!$H$5:$H$19,MATCH($B49,Obras!$A$5:$A$19,0))&lt;=0.5,"VENCE EM ATÉ 6 MESES","VIGENTE"))),""))</x:f>
      </x:c>
      <x:c r="N49" s="255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 ht="30" customHeight="1">
      <x:c r="A50" s="176" t="str">
        <x:f>IF(OR($B50="",$C50=""),"","LC-"&amp;TEXT(46,"0000"))</x:f>
      </x:c>
      <x:c r="B50" s="259"/>
      <x:c r="C50" s="259"/>
      <x:c r="D50" s="271" t="str">
        <x:f>IF($B50="","",IFERROR(IF(INDEX(Obras!$G$5:$G$19,MATCH($B50,Obras!$A$5:$A$19,0))="","",INDEX(Obras!$G$5:$G$19,MATCH($B50,Obras!$A$5:$A$19,0))),""))</x:f>
      </x:c>
      <x:c r="E50" s="259"/>
      <x:c r="F50" s="255"/>
      <x:c r="G50" s="259"/>
      <x:c r="H50" s="259"/>
      <x:c r="I50" s="259"/>
      <x:c r="J50" s="181" t="str">
        <x:f t="shared" si="0"/>
      </x:c>
      <x:c r="K50" s="176" t="str">
        <x:f t="shared" si="1"/>
      </x:c>
      <x:c r="L50" s="181" t="str">
        <x:f>IF($C50="","",IFERROR(IF(INDEX(Catalogo!$H$5:$H$86,MATCH($C50,Catalogo!$A$5:$A$86,0))="","",INDEX(Catalogo!$H$5:$H$86,MATCH($C50,Catalogo!$A$5:$A$86,0))),""))</x:f>
      </x:c>
      <x:c r="M50" s="176" t="str">
        <x:f>IF(OR($B50="",$L50=""),"",IFERROR(IF(INDEX(Obras!$H$5:$H$19,MATCH($B50,Obras!$A$5:$A$19,0))="","",IF(INDEX(Obras!$H$5:$H$19,MATCH($B50,Obras!$A$5:$A$19,0))&gt;$L50,"VENCIDA",IF($L50-INDEX(Obras!$H$5:$H$19,MATCH($B50,Obras!$A$5:$A$19,0))&lt;=0.5,"VENCE EM ATÉ 6 MESES","VIGENTE"))),""))</x:f>
      </x:c>
      <x:c r="N50" s="255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 ht="30" customHeight="1">
      <x:c r="A51" s="176" t="str">
        <x:f>IF(OR($B51="",$C51=""),"","LC-"&amp;TEXT(47,"0000"))</x:f>
      </x:c>
      <x:c r="B51" s="259"/>
      <x:c r="C51" s="259"/>
      <x:c r="D51" s="271" t="str">
        <x:f>IF($B51="","",IFERROR(IF(INDEX(Obras!$G$5:$G$19,MATCH($B51,Obras!$A$5:$A$19,0))="","",INDEX(Obras!$G$5:$G$19,MATCH($B51,Obras!$A$5:$A$19,0))),""))</x:f>
      </x:c>
      <x:c r="E51" s="259"/>
      <x:c r="F51" s="255"/>
      <x:c r="G51" s="259"/>
      <x:c r="H51" s="259"/>
      <x:c r="I51" s="259"/>
      <x:c r="J51" s="181" t="str">
        <x:f t="shared" si="0"/>
      </x:c>
      <x:c r="K51" s="176" t="str">
        <x:f t="shared" si="1"/>
      </x:c>
      <x:c r="L51" s="181" t="str">
        <x:f>IF($C51="","",IFERROR(IF(INDEX(Catalogo!$H$5:$H$86,MATCH($C51,Catalogo!$A$5:$A$86,0))="","",INDEX(Catalogo!$H$5:$H$86,MATCH($C51,Catalogo!$A$5:$A$86,0))),""))</x:f>
      </x:c>
      <x:c r="M51" s="176" t="str">
        <x:f>IF(OR($B51="",$L51=""),"",IFERROR(IF(INDEX(Obras!$H$5:$H$19,MATCH($B51,Obras!$A$5:$A$19,0))="","",IF(INDEX(Obras!$H$5:$H$19,MATCH($B51,Obras!$A$5:$A$19,0))&gt;$L51,"VENCIDA",IF($L51-INDEX(Obras!$H$5:$H$19,MATCH($B51,Obras!$A$5:$A$19,0))&lt;=0.5,"VENCE EM ATÉ 6 MESES","VIGENTE"))),""))</x:f>
      </x:c>
      <x:c r="N51" s="255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 ht="30" customHeight="1">
      <x:c r="A52" s="176" t="str">
        <x:f>IF(OR($B52="",$C52=""),"","LC-"&amp;TEXT(48,"0000"))</x:f>
      </x:c>
      <x:c r="B52" s="259"/>
      <x:c r="C52" s="259"/>
      <x:c r="D52" s="271" t="str">
        <x:f>IF($B52="","",IFERROR(IF(INDEX(Obras!$G$5:$G$19,MATCH($B52,Obras!$A$5:$A$19,0))="","",INDEX(Obras!$G$5:$G$19,MATCH($B52,Obras!$A$5:$A$19,0))),""))</x:f>
      </x:c>
      <x:c r="E52" s="259"/>
      <x:c r="F52" s="255"/>
      <x:c r="G52" s="259"/>
      <x:c r="H52" s="259"/>
      <x:c r="I52" s="259"/>
      <x:c r="J52" s="181" t="str">
        <x:f t="shared" si="0"/>
      </x:c>
      <x:c r="K52" s="176" t="str">
        <x:f t="shared" si="1"/>
      </x:c>
      <x:c r="L52" s="181" t="str">
        <x:f>IF($C52="","",IFERROR(IF(INDEX(Catalogo!$H$5:$H$86,MATCH($C52,Catalogo!$A$5:$A$86,0))="","",INDEX(Catalogo!$H$5:$H$86,MATCH($C52,Catalogo!$A$5:$A$86,0))),""))</x:f>
      </x:c>
      <x:c r="M52" s="176" t="str">
        <x:f>IF(OR($B52="",$L52=""),"",IFERROR(IF(INDEX(Obras!$H$5:$H$19,MATCH($B52,Obras!$A$5:$A$19,0))="","",IF(INDEX(Obras!$H$5:$H$19,MATCH($B52,Obras!$A$5:$A$19,0))&gt;$L52,"VENCIDA",IF($L52-INDEX(Obras!$H$5:$H$19,MATCH($B52,Obras!$A$5:$A$19,0))&lt;=0.5,"VENCE EM ATÉ 6 MESES","VIGENTE"))),""))</x:f>
      </x:c>
      <x:c r="N52" s="255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 ht="30" customHeight="1">
      <x:c r="A53" s="176" t="str">
        <x:f>IF(OR($B53="",$C53=""),"","LC-"&amp;TEXT(49,"0000"))</x:f>
      </x:c>
      <x:c r="B53" s="259"/>
      <x:c r="C53" s="259"/>
      <x:c r="D53" s="271" t="str">
        <x:f>IF($B53="","",IFERROR(IF(INDEX(Obras!$G$5:$G$19,MATCH($B53,Obras!$A$5:$A$19,0))="","",INDEX(Obras!$G$5:$G$19,MATCH($B53,Obras!$A$5:$A$19,0))),""))</x:f>
      </x:c>
      <x:c r="E53" s="259"/>
      <x:c r="F53" s="255"/>
      <x:c r="G53" s="259"/>
      <x:c r="H53" s="259"/>
      <x:c r="I53" s="259"/>
      <x:c r="J53" s="181" t="str">
        <x:f t="shared" si="0"/>
      </x:c>
      <x:c r="K53" s="176" t="str">
        <x:f t="shared" si="1"/>
      </x:c>
      <x:c r="L53" s="181" t="str">
        <x:f>IF($C53="","",IFERROR(IF(INDEX(Catalogo!$H$5:$H$86,MATCH($C53,Catalogo!$A$5:$A$86,0))="","",INDEX(Catalogo!$H$5:$H$86,MATCH($C53,Catalogo!$A$5:$A$86,0))),""))</x:f>
      </x:c>
      <x:c r="M53" s="176" t="str">
        <x:f>IF(OR($B53="",$L53=""),"",IFERROR(IF(INDEX(Obras!$H$5:$H$19,MATCH($B53,Obras!$A$5:$A$19,0))="","",IF(INDEX(Obras!$H$5:$H$19,MATCH($B53,Obras!$A$5:$A$19,0))&gt;$L53,"VENCIDA",IF($L53-INDEX(Obras!$H$5:$H$19,MATCH($B53,Obras!$A$5:$A$19,0))&lt;=0.5,"VENCE EM ATÉ 6 MESES","VIGENTE"))),""))</x:f>
      </x:c>
      <x:c r="N53" s="255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 ht="30" customHeight="1">
      <x:c r="A54" s="176" t="str">
        <x:f>IF(OR($B54="",$C54=""),"","LC-"&amp;TEXT(50,"0000"))</x:f>
      </x:c>
      <x:c r="B54" s="259"/>
      <x:c r="C54" s="259"/>
      <x:c r="D54" s="271" t="str">
        <x:f>IF($B54="","",IFERROR(IF(INDEX(Obras!$G$5:$G$19,MATCH($B54,Obras!$A$5:$A$19,0))="","",INDEX(Obras!$G$5:$G$19,MATCH($B54,Obras!$A$5:$A$19,0))),""))</x:f>
      </x:c>
      <x:c r="E54" s="259"/>
      <x:c r="F54" s="255"/>
      <x:c r="G54" s="259"/>
      <x:c r="H54" s="259"/>
      <x:c r="I54" s="259"/>
      <x:c r="J54" s="181" t="str">
        <x:f t="shared" si="0"/>
      </x:c>
      <x:c r="K54" s="176" t="str">
        <x:f t="shared" si="1"/>
      </x:c>
      <x:c r="L54" s="181" t="str">
        <x:f>IF($C54="","",IFERROR(IF(INDEX(Catalogo!$H$5:$H$86,MATCH($C54,Catalogo!$A$5:$A$86,0))="","",INDEX(Catalogo!$H$5:$H$86,MATCH($C54,Catalogo!$A$5:$A$86,0))),""))</x:f>
      </x:c>
      <x:c r="M54" s="176" t="str">
        <x:f>IF(OR($B54="",$L54=""),"",IFERROR(IF(INDEX(Obras!$H$5:$H$19,MATCH($B54,Obras!$A$5:$A$19,0))="","",IF(INDEX(Obras!$H$5:$H$19,MATCH($B54,Obras!$A$5:$A$19,0))&gt;$L54,"VENCIDA",IF($L54-INDEX(Obras!$H$5:$H$19,MATCH($B54,Obras!$A$5:$A$19,0))&lt;=0.5,"VENCE EM ATÉ 6 MESES","VIGENTE"))),""))</x:f>
      </x:c>
      <x:c r="N54" s="255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 ht="30" customHeight="1">
      <x:c r="A55" s="176" t="str">
        <x:f>IF(OR($B55="",$C55=""),"","LC-"&amp;TEXT(51,"0000"))</x:f>
      </x:c>
      <x:c r="B55" s="259"/>
      <x:c r="C55" s="259"/>
      <x:c r="D55" s="271" t="str">
        <x:f>IF($B55="","",IFERROR(IF(INDEX(Obras!$G$5:$G$19,MATCH($B55,Obras!$A$5:$A$19,0))="","",INDEX(Obras!$G$5:$G$19,MATCH($B55,Obras!$A$5:$A$19,0))),""))</x:f>
      </x:c>
      <x:c r="E55" s="259"/>
      <x:c r="F55" s="255"/>
      <x:c r="G55" s="259"/>
      <x:c r="H55" s="259"/>
      <x:c r="I55" s="259"/>
      <x:c r="J55" s="181" t="str">
        <x:f t="shared" si="0"/>
      </x:c>
      <x:c r="K55" s="176" t="str">
        <x:f t="shared" si="1"/>
      </x:c>
      <x:c r="L55" s="181" t="str">
        <x:f>IF($C55="","",IFERROR(IF(INDEX(Catalogo!$H$5:$H$86,MATCH($C55,Catalogo!$A$5:$A$86,0))="","",INDEX(Catalogo!$H$5:$H$86,MATCH($C55,Catalogo!$A$5:$A$86,0))),""))</x:f>
      </x:c>
      <x:c r="M55" s="176" t="str">
        <x:f>IF(OR($B55="",$L55=""),"",IFERROR(IF(INDEX(Obras!$H$5:$H$19,MATCH($B55,Obras!$A$5:$A$19,0))="","",IF(INDEX(Obras!$H$5:$H$19,MATCH($B55,Obras!$A$5:$A$19,0))&gt;$L55,"VENCIDA",IF($L55-INDEX(Obras!$H$5:$H$19,MATCH($B55,Obras!$A$5:$A$19,0))&lt;=0.5,"VENCE EM ATÉ 6 MESES","VIGENTE"))),""))</x:f>
      </x:c>
      <x:c r="N55" s="255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 ht="30" customHeight="1">
      <x:c r="A56" s="176" t="str">
        <x:f>IF(OR($B56="",$C56=""),"","LC-"&amp;TEXT(52,"0000"))</x:f>
      </x:c>
      <x:c r="B56" s="259"/>
      <x:c r="C56" s="259"/>
      <x:c r="D56" s="271" t="str">
        <x:f>IF($B56="","",IFERROR(IF(INDEX(Obras!$G$5:$G$19,MATCH($B56,Obras!$A$5:$A$19,0))="","",INDEX(Obras!$G$5:$G$19,MATCH($B56,Obras!$A$5:$A$19,0))),""))</x:f>
      </x:c>
      <x:c r="E56" s="259"/>
      <x:c r="F56" s="255"/>
      <x:c r="G56" s="259"/>
      <x:c r="H56" s="259"/>
      <x:c r="I56" s="259"/>
      <x:c r="J56" s="181" t="str">
        <x:f t="shared" si="0"/>
      </x:c>
      <x:c r="K56" s="176" t="str">
        <x:f t="shared" si="1"/>
      </x:c>
      <x:c r="L56" s="181" t="str">
        <x:f>IF($C56="","",IFERROR(IF(INDEX(Catalogo!$H$5:$H$86,MATCH($C56,Catalogo!$A$5:$A$86,0))="","",INDEX(Catalogo!$H$5:$H$86,MATCH($C56,Catalogo!$A$5:$A$86,0))),""))</x:f>
      </x:c>
      <x:c r="M56" s="176" t="str">
        <x:f>IF(OR($B56="",$L56=""),"",IFERROR(IF(INDEX(Obras!$H$5:$H$19,MATCH($B56,Obras!$A$5:$A$19,0))="","",IF(INDEX(Obras!$H$5:$H$19,MATCH($B56,Obras!$A$5:$A$19,0))&gt;$L56,"VENCIDA",IF($L56-INDEX(Obras!$H$5:$H$19,MATCH($B56,Obras!$A$5:$A$19,0))&lt;=0.5,"VENCE EM ATÉ 6 MESES","VIGENTE"))),""))</x:f>
      </x:c>
      <x:c r="N56" s="255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 ht="30" customHeight="1">
      <x:c r="A57" s="176" t="str">
        <x:f>IF(OR($B57="",$C57=""),"","LC-"&amp;TEXT(53,"0000"))</x:f>
      </x:c>
      <x:c r="B57" s="259"/>
      <x:c r="C57" s="259"/>
      <x:c r="D57" s="271" t="str">
        <x:f>IF($B57="","",IFERROR(IF(INDEX(Obras!$G$5:$G$19,MATCH($B57,Obras!$A$5:$A$19,0))="","",INDEX(Obras!$G$5:$G$19,MATCH($B57,Obras!$A$5:$A$19,0))),""))</x:f>
      </x:c>
      <x:c r="E57" s="259"/>
      <x:c r="F57" s="255"/>
      <x:c r="G57" s="259"/>
      <x:c r="H57" s="259"/>
      <x:c r="I57" s="259"/>
      <x:c r="J57" s="181" t="str">
        <x:f t="shared" si="0"/>
      </x:c>
      <x:c r="K57" s="176" t="str">
        <x:f t="shared" si="1"/>
      </x:c>
      <x:c r="L57" s="181" t="str">
        <x:f>IF($C57="","",IFERROR(IF(INDEX(Catalogo!$H$5:$H$86,MATCH($C57,Catalogo!$A$5:$A$86,0))="","",INDEX(Catalogo!$H$5:$H$86,MATCH($C57,Catalogo!$A$5:$A$86,0))),""))</x:f>
      </x:c>
      <x:c r="M57" s="176" t="str">
        <x:f>IF(OR($B57="",$L57=""),"",IFERROR(IF(INDEX(Obras!$H$5:$H$19,MATCH($B57,Obras!$A$5:$A$19,0))="","",IF(INDEX(Obras!$H$5:$H$19,MATCH($B57,Obras!$A$5:$A$19,0))&gt;$L57,"VENCIDA",IF($L57-INDEX(Obras!$H$5:$H$19,MATCH($B57,Obras!$A$5:$A$19,0))&lt;=0.5,"VENCE EM ATÉ 6 MESES","VIGENTE"))),""))</x:f>
      </x:c>
      <x:c r="N57" s="255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 ht="30" customHeight="1">
      <x:c r="A58" s="176" t="str">
        <x:f>IF(OR($B58="",$C58=""),"","LC-"&amp;TEXT(54,"0000"))</x:f>
      </x:c>
      <x:c r="B58" s="259"/>
      <x:c r="C58" s="259"/>
      <x:c r="D58" s="271" t="str">
        <x:f>IF($B58="","",IFERROR(IF(INDEX(Obras!$G$5:$G$19,MATCH($B58,Obras!$A$5:$A$19,0))="","",INDEX(Obras!$G$5:$G$19,MATCH($B58,Obras!$A$5:$A$19,0))),""))</x:f>
      </x:c>
      <x:c r="E58" s="259"/>
      <x:c r="F58" s="255"/>
      <x:c r="G58" s="259"/>
      <x:c r="H58" s="259"/>
      <x:c r="I58" s="259"/>
      <x:c r="J58" s="181" t="str">
        <x:f t="shared" si="0"/>
      </x:c>
      <x:c r="K58" s="176" t="str">
        <x:f t="shared" si="1"/>
      </x:c>
      <x:c r="L58" s="181" t="str">
        <x:f>IF($C58="","",IFERROR(IF(INDEX(Catalogo!$H$5:$H$86,MATCH($C58,Catalogo!$A$5:$A$86,0))="","",INDEX(Catalogo!$H$5:$H$86,MATCH($C58,Catalogo!$A$5:$A$86,0))),""))</x:f>
      </x:c>
      <x:c r="M58" s="176" t="str">
        <x:f>IF(OR($B58="",$L58=""),"",IFERROR(IF(INDEX(Obras!$H$5:$H$19,MATCH($B58,Obras!$A$5:$A$19,0))="","",IF(INDEX(Obras!$H$5:$H$19,MATCH($B58,Obras!$A$5:$A$19,0))&gt;$L58,"VENCIDA",IF($L58-INDEX(Obras!$H$5:$H$19,MATCH($B58,Obras!$A$5:$A$19,0))&lt;=0.5,"VENCE EM ATÉ 6 MESES","VIGENTE"))),""))</x:f>
      </x:c>
      <x:c r="N58" s="255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 ht="30" customHeight="1">
      <x:c r="A59" s="176" t="str">
        <x:f>IF(OR($B59="",$C59=""),"","LC-"&amp;TEXT(55,"0000"))</x:f>
      </x:c>
      <x:c r="B59" s="259"/>
      <x:c r="C59" s="259"/>
      <x:c r="D59" s="271" t="str">
        <x:f>IF($B59="","",IFERROR(IF(INDEX(Obras!$G$5:$G$19,MATCH($B59,Obras!$A$5:$A$19,0))="","",INDEX(Obras!$G$5:$G$19,MATCH($B59,Obras!$A$5:$A$19,0))),""))</x:f>
      </x:c>
      <x:c r="E59" s="259"/>
      <x:c r="F59" s="255"/>
      <x:c r="G59" s="259"/>
      <x:c r="H59" s="259"/>
      <x:c r="I59" s="259"/>
      <x:c r="J59" s="181" t="str">
        <x:f t="shared" si="0"/>
      </x:c>
      <x:c r="K59" s="176" t="str">
        <x:f t="shared" si="1"/>
      </x:c>
      <x:c r="L59" s="181" t="str">
        <x:f>IF($C59="","",IFERROR(IF(INDEX(Catalogo!$H$5:$H$86,MATCH($C59,Catalogo!$A$5:$A$86,0))="","",INDEX(Catalogo!$H$5:$H$86,MATCH($C59,Catalogo!$A$5:$A$86,0))),""))</x:f>
      </x:c>
      <x:c r="M59" s="176" t="str">
        <x:f>IF(OR($B59="",$L59=""),"",IFERROR(IF(INDEX(Obras!$H$5:$H$19,MATCH($B59,Obras!$A$5:$A$19,0))="","",IF(INDEX(Obras!$H$5:$H$19,MATCH($B59,Obras!$A$5:$A$19,0))&gt;$L59,"VENCIDA",IF($L59-INDEX(Obras!$H$5:$H$19,MATCH($B59,Obras!$A$5:$A$19,0))&lt;=0.5,"VENCE EM ATÉ 6 MESES","VIGENTE"))),""))</x:f>
      </x:c>
      <x:c r="N59" s="255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 ht="30" customHeight="1">
      <x:c r="A60" s="176" t="str">
        <x:f>IF(OR($B60="",$C60=""),"","LC-"&amp;TEXT(56,"0000"))</x:f>
      </x:c>
      <x:c r="B60" s="259"/>
      <x:c r="C60" s="259"/>
      <x:c r="D60" s="271" t="str">
        <x:f>IF($B60="","",IFERROR(IF(INDEX(Obras!$G$5:$G$19,MATCH($B60,Obras!$A$5:$A$19,0))="","",INDEX(Obras!$G$5:$G$19,MATCH($B60,Obras!$A$5:$A$19,0))),""))</x:f>
      </x:c>
      <x:c r="E60" s="259"/>
      <x:c r="F60" s="255"/>
      <x:c r="G60" s="259"/>
      <x:c r="H60" s="259"/>
      <x:c r="I60" s="259"/>
      <x:c r="J60" s="181" t="str">
        <x:f t="shared" si="0"/>
      </x:c>
      <x:c r="K60" s="176" t="str">
        <x:f t="shared" si="1"/>
      </x:c>
      <x:c r="L60" s="181" t="str">
        <x:f>IF($C60="","",IFERROR(IF(INDEX(Catalogo!$H$5:$H$86,MATCH($C60,Catalogo!$A$5:$A$86,0))="","",INDEX(Catalogo!$H$5:$H$86,MATCH($C60,Catalogo!$A$5:$A$86,0))),""))</x:f>
      </x:c>
      <x:c r="M60" s="176" t="str">
        <x:f>IF(OR($B60="",$L60=""),"",IFERROR(IF(INDEX(Obras!$H$5:$H$19,MATCH($B60,Obras!$A$5:$A$19,0))="","",IF(INDEX(Obras!$H$5:$H$19,MATCH($B60,Obras!$A$5:$A$19,0))&gt;$L60,"VENCIDA",IF($L60-INDEX(Obras!$H$5:$H$19,MATCH($B60,Obras!$A$5:$A$19,0))&lt;=0.5,"VENCE EM ATÉ 6 MESES","VIGENTE"))),""))</x:f>
      </x:c>
      <x:c r="N60" s="255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 ht="30" customHeight="1">
      <x:c r="A61" s="176" t="str">
        <x:f>IF(OR($B61="",$C61=""),"","LC-"&amp;TEXT(57,"0000"))</x:f>
      </x:c>
      <x:c r="B61" s="259"/>
      <x:c r="C61" s="259"/>
      <x:c r="D61" s="271" t="str">
        <x:f>IF($B61="","",IFERROR(IF(INDEX(Obras!$G$5:$G$19,MATCH($B61,Obras!$A$5:$A$19,0))="","",INDEX(Obras!$G$5:$G$19,MATCH($B61,Obras!$A$5:$A$19,0))),""))</x:f>
      </x:c>
      <x:c r="E61" s="259"/>
      <x:c r="F61" s="255"/>
      <x:c r="G61" s="259"/>
      <x:c r="H61" s="259"/>
      <x:c r="I61" s="259"/>
      <x:c r="J61" s="181" t="str">
        <x:f t="shared" si="0"/>
      </x:c>
      <x:c r="K61" s="176" t="str">
        <x:f t="shared" si="1"/>
      </x:c>
      <x:c r="L61" s="181" t="str">
        <x:f>IF($C61="","",IFERROR(IF(INDEX(Catalogo!$H$5:$H$86,MATCH($C61,Catalogo!$A$5:$A$86,0))="","",INDEX(Catalogo!$H$5:$H$86,MATCH($C61,Catalogo!$A$5:$A$86,0))),""))</x:f>
      </x:c>
      <x:c r="M61" s="176" t="str">
        <x:f>IF(OR($B61="",$L61=""),"",IFERROR(IF(INDEX(Obras!$H$5:$H$19,MATCH($B61,Obras!$A$5:$A$19,0))="","",IF(INDEX(Obras!$H$5:$H$19,MATCH($B61,Obras!$A$5:$A$19,0))&gt;$L61,"VENCIDA",IF($L61-INDEX(Obras!$H$5:$H$19,MATCH($B61,Obras!$A$5:$A$19,0))&lt;=0.5,"VENCE EM ATÉ 6 MESES","VIGENTE"))),""))</x:f>
      </x:c>
      <x:c r="N61" s="255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 ht="30" customHeight="1">
      <x:c r="A62" s="176" t="str">
        <x:f>IF(OR($B62="",$C62=""),"","LC-"&amp;TEXT(58,"0000"))</x:f>
      </x:c>
      <x:c r="B62" s="259"/>
      <x:c r="C62" s="259"/>
      <x:c r="D62" s="271" t="str">
        <x:f>IF($B62="","",IFERROR(IF(INDEX(Obras!$G$5:$G$19,MATCH($B62,Obras!$A$5:$A$19,0))="","",INDEX(Obras!$G$5:$G$19,MATCH($B62,Obras!$A$5:$A$19,0))),""))</x:f>
      </x:c>
      <x:c r="E62" s="259"/>
      <x:c r="F62" s="255"/>
      <x:c r="G62" s="259"/>
      <x:c r="H62" s="259"/>
      <x:c r="I62" s="259"/>
      <x:c r="J62" s="181" t="str">
        <x:f t="shared" si="0"/>
      </x:c>
      <x:c r="K62" s="176" t="str">
        <x:f t="shared" si="1"/>
      </x:c>
      <x:c r="L62" s="181" t="str">
        <x:f>IF($C62="","",IFERROR(IF(INDEX(Catalogo!$H$5:$H$86,MATCH($C62,Catalogo!$A$5:$A$86,0))="","",INDEX(Catalogo!$H$5:$H$86,MATCH($C62,Catalogo!$A$5:$A$86,0))),""))</x:f>
      </x:c>
      <x:c r="M62" s="176" t="str">
        <x:f>IF(OR($B62="",$L62=""),"",IFERROR(IF(INDEX(Obras!$H$5:$H$19,MATCH($B62,Obras!$A$5:$A$19,0))="","",IF(INDEX(Obras!$H$5:$H$19,MATCH($B62,Obras!$A$5:$A$19,0))&gt;$L62,"VENCIDA",IF($L62-INDEX(Obras!$H$5:$H$19,MATCH($B62,Obras!$A$5:$A$19,0))&lt;=0.5,"VENCE EM ATÉ 6 MESES","VIGENTE"))),""))</x:f>
      </x:c>
      <x:c r="N62" s="255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 ht="30" customHeight="1">
      <x:c r="A63" s="176" t="str">
        <x:f>IF(OR($B63="",$C63=""),"","LC-"&amp;TEXT(59,"0000"))</x:f>
      </x:c>
      <x:c r="B63" s="259"/>
      <x:c r="C63" s="259"/>
      <x:c r="D63" s="271" t="str">
        <x:f>IF($B63="","",IFERROR(IF(INDEX(Obras!$G$5:$G$19,MATCH($B63,Obras!$A$5:$A$19,0))="","",INDEX(Obras!$G$5:$G$19,MATCH($B63,Obras!$A$5:$A$19,0))),""))</x:f>
      </x:c>
      <x:c r="E63" s="259"/>
      <x:c r="F63" s="255"/>
      <x:c r="G63" s="259"/>
      <x:c r="H63" s="259"/>
      <x:c r="I63" s="259"/>
      <x:c r="J63" s="181" t="str">
        <x:f t="shared" si="0"/>
      </x:c>
      <x:c r="K63" s="176" t="str">
        <x:f t="shared" si="1"/>
      </x:c>
      <x:c r="L63" s="181" t="str">
        <x:f>IF($C63="","",IFERROR(IF(INDEX(Catalogo!$H$5:$H$86,MATCH($C63,Catalogo!$A$5:$A$86,0))="","",INDEX(Catalogo!$H$5:$H$86,MATCH($C63,Catalogo!$A$5:$A$86,0))),""))</x:f>
      </x:c>
      <x:c r="M63" s="176" t="str">
        <x:f>IF(OR($B63="",$L63=""),"",IFERROR(IF(INDEX(Obras!$H$5:$H$19,MATCH($B63,Obras!$A$5:$A$19,0))="","",IF(INDEX(Obras!$H$5:$H$19,MATCH($B63,Obras!$A$5:$A$19,0))&gt;$L63,"VENCIDA",IF($L63-INDEX(Obras!$H$5:$H$19,MATCH($B63,Obras!$A$5:$A$19,0))&lt;=0.5,"VENCE EM ATÉ 6 MESES","VIGENTE"))),""))</x:f>
      </x:c>
      <x:c r="N63" s="255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 ht="30" customHeight="1">
      <x:c r="A64" s="176" t="str">
        <x:f>IF(OR($B64="",$C64=""),"","LC-"&amp;TEXT(60,"0000"))</x:f>
      </x:c>
      <x:c r="B64" s="259"/>
      <x:c r="C64" s="259"/>
      <x:c r="D64" s="271" t="str">
        <x:f>IF($B64="","",IFERROR(IF(INDEX(Obras!$G$5:$G$19,MATCH($B64,Obras!$A$5:$A$19,0))="","",INDEX(Obras!$G$5:$G$19,MATCH($B64,Obras!$A$5:$A$19,0))),""))</x:f>
      </x:c>
      <x:c r="E64" s="259"/>
      <x:c r="F64" s="255"/>
      <x:c r="G64" s="259"/>
      <x:c r="H64" s="259"/>
      <x:c r="I64" s="259"/>
      <x:c r="J64" s="181" t="str">
        <x:f t="shared" si="0"/>
      </x:c>
      <x:c r="K64" s="176" t="str">
        <x:f t="shared" si="1"/>
      </x:c>
      <x:c r="L64" s="181" t="str">
        <x:f>IF($C64="","",IFERROR(IF(INDEX(Catalogo!$H$5:$H$86,MATCH($C64,Catalogo!$A$5:$A$86,0))="","",INDEX(Catalogo!$H$5:$H$86,MATCH($C64,Catalogo!$A$5:$A$86,0))),""))</x:f>
      </x:c>
      <x:c r="M64" s="176" t="str">
        <x:f>IF(OR($B64="",$L64=""),"",IFERROR(IF(INDEX(Obras!$H$5:$H$19,MATCH($B64,Obras!$A$5:$A$19,0))="","",IF(INDEX(Obras!$H$5:$H$19,MATCH($B64,Obras!$A$5:$A$19,0))&gt;$L64,"VENCIDA",IF($L64-INDEX(Obras!$H$5:$H$19,MATCH($B64,Obras!$A$5:$A$19,0))&lt;=0.5,"VENCE EM ATÉ 6 MESES","VIGENTE"))),""))</x:f>
      </x:c>
      <x:c r="N64" s="255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 ht="30" customHeight="1">
      <x:c r="A65" s="176" t="str">
        <x:f>IF(OR($B65="",$C65=""),"","LC-"&amp;TEXT(61,"0000"))</x:f>
      </x:c>
      <x:c r="B65" s="259"/>
      <x:c r="C65" s="259"/>
      <x:c r="D65" s="271" t="str">
        <x:f>IF($B65="","",IFERROR(IF(INDEX(Obras!$G$5:$G$19,MATCH($B65,Obras!$A$5:$A$19,0))="","",INDEX(Obras!$G$5:$G$19,MATCH($B65,Obras!$A$5:$A$19,0))),""))</x:f>
      </x:c>
      <x:c r="E65" s="259"/>
      <x:c r="F65" s="255"/>
      <x:c r="G65" s="259"/>
      <x:c r="H65" s="259"/>
      <x:c r="I65" s="259"/>
      <x:c r="J65" s="181" t="str">
        <x:f t="shared" si="0"/>
      </x:c>
      <x:c r="K65" s="176" t="str">
        <x:f t="shared" si="1"/>
      </x:c>
      <x:c r="L65" s="181" t="str">
        <x:f>IF($C65="","",IFERROR(IF(INDEX(Catalogo!$H$5:$H$86,MATCH($C65,Catalogo!$A$5:$A$86,0))="","",INDEX(Catalogo!$H$5:$H$86,MATCH($C65,Catalogo!$A$5:$A$86,0))),""))</x:f>
      </x:c>
      <x:c r="M65" s="176" t="str">
        <x:f>IF(OR($B65="",$L65=""),"",IFERROR(IF(INDEX(Obras!$H$5:$H$19,MATCH($B65,Obras!$A$5:$A$19,0))="","",IF(INDEX(Obras!$H$5:$H$19,MATCH($B65,Obras!$A$5:$A$19,0))&gt;$L65,"VENCIDA",IF($L65-INDEX(Obras!$H$5:$H$19,MATCH($B65,Obras!$A$5:$A$19,0))&lt;=0.5,"VENCE EM ATÉ 6 MESES","VIGENTE"))),""))</x:f>
      </x:c>
      <x:c r="N65" s="255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 ht="30" customHeight="1">
      <x:c r="A66" s="176" t="str">
        <x:f>IF(OR($B66="",$C66=""),"","LC-"&amp;TEXT(62,"0000"))</x:f>
      </x:c>
      <x:c r="B66" s="259"/>
      <x:c r="C66" s="259"/>
      <x:c r="D66" s="271" t="str">
        <x:f>IF($B66="","",IFERROR(IF(INDEX(Obras!$G$5:$G$19,MATCH($B66,Obras!$A$5:$A$19,0))="","",INDEX(Obras!$G$5:$G$19,MATCH($B66,Obras!$A$5:$A$19,0))),""))</x:f>
      </x:c>
      <x:c r="E66" s="259"/>
      <x:c r="F66" s="255"/>
      <x:c r="G66" s="259"/>
      <x:c r="H66" s="259"/>
      <x:c r="I66" s="259"/>
      <x:c r="J66" s="181" t="str">
        <x:f t="shared" si="0"/>
      </x:c>
      <x:c r="K66" s="176" t="str">
        <x:f t="shared" si="1"/>
      </x:c>
      <x:c r="L66" s="181" t="str">
        <x:f>IF($C66="","",IFERROR(IF(INDEX(Catalogo!$H$5:$H$86,MATCH($C66,Catalogo!$A$5:$A$86,0))="","",INDEX(Catalogo!$H$5:$H$86,MATCH($C66,Catalogo!$A$5:$A$86,0))),""))</x:f>
      </x:c>
      <x:c r="M66" s="176" t="str">
        <x:f>IF(OR($B66="",$L66=""),"",IFERROR(IF(INDEX(Obras!$H$5:$H$19,MATCH($B66,Obras!$A$5:$A$19,0))="","",IF(INDEX(Obras!$H$5:$H$19,MATCH($B66,Obras!$A$5:$A$19,0))&gt;$L66,"VENCIDA",IF($L66-INDEX(Obras!$H$5:$H$19,MATCH($B66,Obras!$A$5:$A$19,0))&lt;=0.5,"VENCE EM ATÉ 6 MESES","VIGENTE"))),""))</x:f>
      </x:c>
      <x:c r="N66" s="255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 ht="30" customHeight="1">
      <x:c r="A67" s="176" t="str">
        <x:f>IF(OR($B67="",$C67=""),"","LC-"&amp;TEXT(63,"0000"))</x:f>
      </x:c>
      <x:c r="B67" s="259"/>
      <x:c r="C67" s="259"/>
      <x:c r="D67" s="271" t="str">
        <x:f>IF($B67="","",IFERROR(IF(INDEX(Obras!$G$5:$G$19,MATCH($B67,Obras!$A$5:$A$19,0))="","",INDEX(Obras!$G$5:$G$19,MATCH($B67,Obras!$A$5:$A$19,0))),""))</x:f>
      </x:c>
      <x:c r="E67" s="259"/>
      <x:c r="F67" s="255"/>
      <x:c r="G67" s="259"/>
      <x:c r="H67" s="259"/>
      <x:c r="I67" s="259"/>
      <x:c r="J67" s="181" t="str">
        <x:f t="shared" si="0"/>
      </x:c>
      <x:c r="K67" s="176" t="str">
        <x:f t="shared" si="1"/>
      </x:c>
      <x:c r="L67" s="181" t="str">
        <x:f>IF($C67="","",IFERROR(IF(INDEX(Catalogo!$H$5:$H$86,MATCH($C67,Catalogo!$A$5:$A$86,0))="","",INDEX(Catalogo!$H$5:$H$86,MATCH($C67,Catalogo!$A$5:$A$86,0))),""))</x:f>
      </x:c>
      <x:c r="M67" s="176" t="str">
        <x:f>IF(OR($B67="",$L67=""),"",IFERROR(IF(INDEX(Obras!$H$5:$H$19,MATCH($B67,Obras!$A$5:$A$19,0))="","",IF(INDEX(Obras!$H$5:$H$19,MATCH($B67,Obras!$A$5:$A$19,0))&gt;$L67,"VENCIDA",IF($L67-INDEX(Obras!$H$5:$H$19,MATCH($B67,Obras!$A$5:$A$19,0))&lt;=0.5,"VENCE EM ATÉ 6 MESES","VIGENTE"))),""))</x:f>
      </x:c>
      <x:c r="N67" s="255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 ht="30" customHeight="1">
      <x:c r="A68" s="176" t="str">
        <x:f>IF(OR($B68="",$C68=""),"","LC-"&amp;TEXT(64,"0000"))</x:f>
      </x:c>
      <x:c r="B68" s="259"/>
      <x:c r="C68" s="259"/>
      <x:c r="D68" s="271" t="str">
        <x:f>IF($B68="","",IFERROR(IF(INDEX(Obras!$G$5:$G$19,MATCH($B68,Obras!$A$5:$A$19,0))="","",INDEX(Obras!$G$5:$G$19,MATCH($B68,Obras!$A$5:$A$19,0))),""))</x:f>
      </x:c>
      <x:c r="E68" s="259"/>
      <x:c r="F68" s="255"/>
      <x:c r="G68" s="259"/>
      <x:c r="H68" s="259"/>
      <x:c r="I68" s="259"/>
      <x:c r="J68" s="181" t="str">
        <x:f t="shared" si="0"/>
      </x:c>
      <x:c r="K68" s="176" t="str">
        <x:f t="shared" si="1"/>
      </x:c>
      <x:c r="L68" s="181" t="str">
        <x:f>IF($C68="","",IFERROR(IF(INDEX(Catalogo!$H$5:$H$86,MATCH($C68,Catalogo!$A$5:$A$86,0))="","",INDEX(Catalogo!$H$5:$H$86,MATCH($C68,Catalogo!$A$5:$A$86,0))),""))</x:f>
      </x:c>
      <x:c r="M68" s="176" t="str">
        <x:f>IF(OR($B68="",$L68=""),"",IFERROR(IF(INDEX(Obras!$H$5:$H$19,MATCH($B68,Obras!$A$5:$A$19,0))="","",IF(INDEX(Obras!$H$5:$H$19,MATCH($B68,Obras!$A$5:$A$19,0))&gt;$L68,"VENCIDA",IF($L68-INDEX(Obras!$H$5:$H$19,MATCH($B68,Obras!$A$5:$A$19,0))&lt;=0.5,"VENCE EM ATÉ 6 MESES","VIGENTE"))),""))</x:f>
      </x:c>
      <x:c r="N68" s="255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 ht="30" customHeight="1">
      <x:c r="A69" s="176" t="str">
        <x:f>IF(OR($B69="",$C69=""),"","LC-"&amp;TEXT(65,"0000"))</x:f>
      </x:c>
      <x:c r="B69" s="259"/>
      <x:c r="C69" s="259"/>
      <x:c r="D69" s="271" t="str">
        <x:f>IF($B69="","",IFERROR(IF(INDEX(Obras!$G$5:$G$19,MATCH($B69,Obras!$A$5:$A$19,0))="","",INDEX(Obras!$G$5:$G$19,MATCH($B69,Obras!$A$5:$A$19,0))),""))</x:f>
      </x:c>
      <x:c r="E69" s="259"/>
      <x:c r="F69" s="255"/>
      <x:c r="G69" s="259"/>
      <x:c r="H69" s="259"/>
      <x:c r="I69" s="259"/>
      <x:c r="J69" s="181" t="str">
        <x:f t="shared" ref="J69:J132" si="2">IF(COUNT($G69:$I69)=3,$G69*$H69*$I69,"")</x:f>
      </x:c>
      <x:c r="K69" s="176" t="str">
        <x:f t="shared" ref="K69:K132" si="3">IF($J69="","",IF($J69&gt;=512,"Prioridade 1",IF($J69&gt;=108,"Prioridade 2","Prioridade 3")))</x:f>
      </x:c>
      <x:c r="L69" s="181" t="str">
        <x:f>IF($C69="","",IFERROR(IF(INDEX(Catalogo!$H$5:$H$86,MATCH($C69,Catalogo!$A$5:$A$86,0))="","",INDEX(Catalogo!$H$5:$H$86,MATCH($C69,Catalogo!$A$5:$A$86,0))),""))</x:f>
      </x:c>
      <x:c r="M69" s="176" t="str">
        <x:f>IF(OR($B69="",$L69=""),"",IFERROR(IF(INDEX(Obras!$H$5:$H$19,MATCH($B69,Obras!$A$5:$A$19,0))="","",IF(INDEX(Obras!$H$5:$H$19,MATCH($B69,Obras!$A$5:$A$19,0))&gt;$L69,"VENCIDA",IF($L69-INDEX(Obras!$H$5:$H$19,MATCH($B69,Obras!$A$5:$A$19,0))&lt;=0.5,"VENCE EM ATÉ 6 MESES","VIGENTE"))),""))</x:f>
      </x:c>
      <x:c r="N69" s="255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 ht="30" customHeight="1">
      <x:c r="A70" s="176" t="str">
        <x:f>IF(OR($B70="",$C70=""),"","LC-"&amp;TEXT(66,"0000"))</x:f>
      </x:c>
      <x:c r="B70" s="259"/>
      <x:c r="C70" s="259"/>
      <x:c r="D70" s="271" t="str">
        <x:f>IF($B70="","",IFERROR(IF(INDEX(Obras!$G$5:$G$19,MATCH($B70,Obras!$A$5:$A$19,0))="","",INDEX(Obras!$G$5:$G$19,MATCH($B70,Obras!$A$5:$A$19,0))),""))</x:f>
      </x:c>
      <x:c r="E70" s="259"/>
      <x:c r="F70" s="255"/>
      <x:c r="G70" s="259"/>
      <x:c r="H70" s="259"/>
      <x:c r="I70" s="259"/>
      <x:c r="J70" s="181" t="str">
        <x:f t="shared" si="2"/>
      </x:c>
      <x:c r="K70" s="176" t="str">
        <x:f t="shared" si="3"/>
      </x:c>
      <x:c r="L70" s="181" t="str">
        <x:f>IF($C70="","",IFERROR(IF(INDEX(Catalogo!$H$5:$H$86,MATCH($C70,Catalogo!$A$5:$A$86,0))="","",INDEX(Catalogo!$H$5:$H$86,MATCH($C70,Catalogo!$A$5:$A$86,0))),""))</x:f>
      </x:c>
      <x:c r="M70" s="176" t="str">
        <x:f>IF(OR($B70="",$L70=""),"",IFERROR(IF(INDEX(Obras!$H$5:$H$19,MATCH($B70,Obras!$A$5:$A$19,0))="","",IF(INDEX(Obras!$H$5:$H$19,MATCH($B70,Obras!$A$5:$A$19,0))&gt;$L70,"VENCIDA",IF($L70-INDEX(Obras!$H$5:$H$19,MATCH($B70,Obras!$A$5:$A$19,0))&lt;=0.5,"VENCE EM ATÉ 6 MESES","VIGENTE"))),""))</x:f>
      </x:c>
      <x:c r="N70" s="255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 ht="30" customHeight="1">
      <x:c r="A71" s="176" t="str">
        <x:f>IF(OR($B71="",$C71=""),"","LC-"&amp;TEXT(67,"0000"))</x:f>
      </x:c>
      <x:c r="B71" s="259"/>
      <x:c r="C71" s="259"/>
      <x:c r="D71" s="271" t="str">
        <x:f>IF($B71="","",IFERROR(IF(INDEX(Obras!$G$5:$G$19,MATCH($B71,Obras!$A$5:$A$19,0))="","",INDEX(Obras!$G$5:$G$19,MATCH($B71,Obras!$A$5:$A$19,0))),""))</x:f>
      </x:c>
      <x:c r="E71" s="259"/>
      <x:c r="F71" s="255"/>
      <x:c r="G71" s="259"/>
      <x:c r="H71" s="259"/>
      <x:c r="I71" s="259"/>
      <x:c r="J71" s="181" t="str">
        <x:f t="shared" si="2"/>
      </x:c>
      <x:c r="K71" s="176" t="str">
        <x:f t="shared" si="3"/>
      </x:c>
      <x:c r="L71" s="181" t="str">
        <x:f>IF($C71="","",IFERROR(IF(INDEX(Catalogo!$H$5:$H$86,MATCH($C71,Catalogo!$A$5:$A$86,0))="","",INDEX(Catalogo!$H$5:$H$86,MATCH($C71,Catalogo!$A$5:$A$86,0))),""))</x:f>
      </x:c>
      <x:c r="M71" s="176" t="str">
        <x:f>IF(OR($B71="",$L71=""),"",IFERROR(IF(INDEX(Obras!$H$5:$H$19,MATCH($B71,Obras!$A$5:$A$19,0))="","",IF(INDEX(Obras!$H$5:$H$19,MATCH($B71,Obras!$A$5:$A$19,0))&gt;$L71,"VENCIDA",IF($L71-INDEX(Obras!$H$5:$H$19,MATCH($B71,Obras!$A$5:$A$19,0))&lt;=0.5,"VENCE EM ATÉ 6 MESES","VIGENTE"))),""))</x:f>
      </x:c>
      <x:c r="N71" s="255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 ht="30" customHeight="1">
      <x:c r="A72" s="176" t="str">
        <x:f>IF(OR($B72="",$C72=""),"","LC-"&amp;TEXT(68,"0000"))</x:f>
      </x:c>
      <x:c r="B72" s="259"/>
      <x:c r="C72" s="259"/>
      <x:c r="D72" s="271" t="str">
        <x:f>IF($B72="","",IFERROR(IF(INDEX(Obras!$G$5:$G$19,MATCH($B72,Obras!$A$5:$A$19,0))="","",INDEX(Obras!$G$5:$G$19,MATCH($B72,Obras!$A$5:$A$19,0))),""))</x:f>
      </x:c>
      <x:c r="E72" s="259"/>
      <x:c r="F72" s="255"/>
      <x:c r="G72" s="259"/>
      <x:c r="H72" s="259"/>
      <x:c r="I72" s="259"/>
      <x:c r="J72" s="181" t="str">
        <x:f t="shared" si="2"/>
      </x:c>
      <x:c r="K72" s="176" t="str">
        <x:f t="shared" si="3"/>
      </x:c>
      <x:c r="L72" s="181" t="str">
        <x:f>IF($C72="","",IFERROR(IF(INDEX(Catalogo!$H$5:$H$86,MATCH($C72,Catalogo!$A$5:$A$86,0))="","",INDEX(Catalogo!$H$5:$H$86,MATCH($C72,Catalogo!$A$5:$A$86,0))),""))</x:f>
      </x:c>
      <x:c r="M72" s="176" t="str">
        <x:f>IF(OR($B72="",$L72=""),"",IFERROR(IF(INDEX(Obras!$H$5:$H$19,MATCH($B72,Obras!$A$5:$A$19,0))="","",IF(INDEX(Obras!$H$5:$H$19,MATCH($B72,Obras!$A$5:$A$19,0))&gt;$L72,"VENCIDA",IF($L72-INDEX(Obras!$H$5:$H$19,MATCH($B72,Obras!$A$5:$A$19,0))&lt;=0.5,"VENCE EM ATÉ 6 MESES","VIGENTE"))),""))</x:f>
      </x:c>
      <x:c r="N72" s="255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 ht="30" customHeight="1">
      <x:c r="A73" s="176" t="str">
        <x:f>IF(OR($B73="",$C73=""),"","LC-"&amp;TEXT(69,"0000"))</x:f>
      </x:c>
      <x:c r="B73" s="259"/>
      <x:c r="C73" s="259"/>
      <x:c r="D73" s="271" t="str">
        <x:f>IF($B73="","",IFERROR(IF(INDEX(Obras!$G$5:$G$19,MATCH($B73,Obras!$A$5:$A$19,0))="","",INDEX(Obras!$G$5:$G$19,MATCH($B73,Obras!$A$5:$A$19,0))),""))</x:f>
      </x:c>
      <x:c r="E73" s="259"/>
      <x:c r="F73" s="255"/>
      <x:c r="G73" s="259"/>
      <x:c r="H73" s="259"/>
      <x:c r="I73" s="259"/>
      <x:c r="J73" s="181" t="str">
        <x:f t="shared" si="2"/>
      </x:c>
      <x:c r="K73" s="176" t="str">
        <x:f t="shared" si="3"/>
      </x:c>
      <x:c r="L73" s="181" t="str">
        <x:f>IF($C73="","",IFERROR(IF(INDEX(Catalogo!$H$5:$H$86,MATCH($C73,Catalogo!$A$5:$A$86,0))="","",INDEX(Catalogo!$H$5:$H$86,MATCH($C73,Catalogo!$A$5:$A$86,0))),""))</x:f>
      </x:c>
      <x:c r="M73" s="176" t="str">
        <x:f>IF(OR($B73="",$L73=""),"",IFERROR(IF(INDEX(Obras!$H$5:$H$19,MATCH($B73,Obras!$A$5:$A$19,0))="","",IF(INDEX(Obras!$H$5:$H$19,MATCH($B73,Obras!$A$5:$A$19,0))&gt;$L73,"VENCIDA",IF($L73-INDEX(Obras!$H$5:$H$19,MATCH($B73,Obras!$A$5:$A$19,0))&lt;=0.5,"VENCE EM ATÉ 6 MESES","VIGENTE"))),""))</x:f>
      </x:c>
      <x:c r="N73" s="255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 ht="30" customHeight="1">
      <x:c r="A74" s="176" t="str">
        <x:f>IF(OR($B74="",$C74=""),"","LC-"&amp;TEXT(70,"0000"))</x:f>
      </x:c>
      <x:c r="B74" s="259"/>
      <x:c r="C74" s="259"/>
      <x:c r="D74" s="271" t="str">
        <x:f>IF($B74="","",IFERROR(IF(INDEX(Obras!$G$5:$G$19,MATCH($B74,Obras!$A$5:$A$19,0))="","",INDEX(Obras!$G$5:$G$19,MATCH($B74,Obras!$A$5:$A$19,0))),""))</x:f>
      </x:c>
      <x:c r="E74" s="259"/>
      <x:c r="F74" s="255"/>
      <x:c r="G74" s="259"/>
      <x:c r="H74" s="259"/>
      <x:c r="I74" s="259"/>
      <x:c r="J74" s="181" t="str">
        <x:f t="shared" si="2"/>
      </x:c>
      <x:c r="K74" s="176" t="str">
        <x:f t="shared" si="3"/>
      </x:c>
      <x:c r="L74" s="181" t="str">
        <x:f>IF($C74="","",IFERROR(IF(INDEX(Catalogo!$H$5:$H$86,MATCH($C74,Catalogo!$A$5:$A$86,0))="","",INDEX(Catalogo!$H$5:$H$86,MATCH($C74,Catalogo!$A$5:$A$86,0))),""))</x:f>
      </x:c>
      <x:c r="M74" s="176" t="str">
        <x:f>IF(OR($B74="",$L74=""),"",IFERROR(IF(INDEX(Obras!$H$5:$H$19,MATCH($B74,Obras!$A$5:$A$19,0))="","",IF(INDEX(Obras!$H$5:$H$19,MATCH($B74,Obras!$A$5:$A$19,0))&gt;$L74,"VENCIDA",IF($L74-INDEX(Obras!$H$5:$H$19,MATCH($B74,Obras!$A$5:$A$19,0))&lt;=0.5,"VENCE EM ATÉ 6 MESES","VIGENTE"))),""))</x:f>
      </x:c>
      <x:c r="N74" s="255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 ht="30" customHeight="1">
      <x:c r="A75" s="176" t="str">
        <x:f>IF(OR($B75="",$C75=""),"","LC-"&amp;TEXT(71,"0000"))</x:f>
      </x:c>
      <x:c r="B75" s="259"/>
      <x:c r="C75" s="259"/>
      <x:c r="D75" s="271" t="str">
        <x:f>IF($B75="","",IFERROR(IF(INDEX(Obras!$G$5:$G$19,MATCH($B75,Obras!$A$5:$A$19,0))="","",INDEX(Obras!$G$5:$G$19,MATCH($B75,Obras!$A$5:$A$19,0))),""))</x:f>
      </x:c>
      <x:c r="E75" s="259"/>
      <x:c r="F75" s="255"/>
      <x:c r="G75" s="259"/>
      <x:c r="H75" s="259"/>
      <x:c r="I75" s="259"/>
      <x:c r="J75" s="181" t="str">
        <x:f t="shared" si="2"/>
      </x:c>
      <x:c r="K75" s="176" t="str">
        <x:f t="shared" si="3"/>
      </x:c>
      <x:c r="L75" s="181" t="str">
        <x:f>IF($C75="","",IFERROR(IF(INDEX(Catalogo!$H$5:$H$86,MATCH($C75,Catalogo!$A$5:$A$86,0))="","",INDEX(Catalogo!$H$5:$H$86,MATCH($C75,Catalogo!$A$5:$A$86,0))),""))</x:f>
      </x:c>
      <x:c r="M75" s="176" t="str">
        <x:f>IF(OR($B75="",$L75=""),"",IFERROR(IF(INDEX(Obras!$H$5:$H$19,MATCH($B75,Obras!$A$5:$A$19,0))="","",IF(INDEX(Obras!$H$5:$H$19,MATCH($B75,Obras!$A$5:$A$19,0))&gt;$L75,"VENCIDA",IF($L75-INDEX(Obras!$H$5:$H$19,MATCH($B75,Obras!$A$5:$A$19,0))&lt;=0.5,"VENCE EM ATÉ 6 MESES","VIGENTE"))),""))</x:f>
      </x:c>
      <x:c r="N75" s="255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 ht="30" customHeight="1">
      <x:c r="A76" s="176" t="str">
        <x:f>IF(OR($B76="",$C76=""),"","LC-"&amp;TEXT(72,"0000"))</x:f>
      </x:c>
      <x:c r="B76" s="259"/>
      <x:c r="C76" s="259"/>
      <x:c r="D76" s="271" t="str">
        <x:f>IF($B76="","",IFERROR(IF(INDEX(Obras!$G$5:$G$19,MATCH($B76,Obras!$A$5:$A$19,0))="","",INDEX(Obras!$G$5:$G$19,MATCH($B76,Obras!$A$5:$A$19,0))),""))</x:f>
      </x:c>
      <x:c r="E76" s="259"/>
      <x:c r="F76" s="255"/>
      <x:c r="G76" s="259"/>
      <x:c r="H76" s="259"/>
      <x:c r="I76" s="259"/>
      <x:c r="J76" s="181" t="str">
        <x:f t="shared" si="2"/>
      </x:c>
      <x:c r="K76" s="176" t="str">
        <x:f t="shared" si="3"/>
      </x:c>
      <x:c r="L76" s="181" t="str">
        <x:f>IF($C76="","",IFERROR(IF(INDEX(Catalogo!$H$5:$H$86,MATCH($C76,Catalogo!$A$5:$A$86,0))="","",INDEX(Catalogo!$H$5:$H$86,MATCH($C76,Catalogo!$A$5:$A$86,0))),""))</x:f>
      </x:c>
      <x:c r="M76" s="176" t="str">
        <x:f>IF(OR($B76="",$L76=""),"",IFERROR(IF(INDEX(Obras!$H$5:$H$19,MATCH($B76,Obras!$A$5:$A$19,0))="","",IF(INDEX(Obras!$H$5:$H$19,MATCH($B76,Obras!$A$5:$A$19,0))&gt;$L76,"VENCIDA",IF($L76-INDEX(Obras!$H$5:$H$19,MATCH($B76,Obras!$A$5:$A$19,0))&lt;=0.5,"VENCE EM ATÉ 6 MESES","VIGENTE"))),""))</x:f>
      </x:c>
      <x:c r="N76" s="255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 ht="30" customHeight="1">
      <x:c r="A77" s="176" t="str">
        <x:f>IF(OR($B77="",$C77=""),"","LC-"&amp;TEXT(73,"0000"))</x:f>
      </x:c>
      <x:c r="B77" s="259"/>
      <x:c r="C77" s="259"/>
      <x:c r="D77" s="271" t="str">
        <x:f>IF($B77="","",IFERROR(IF(INDEX(Obras!$G$5:$G$19,MATCH($B77,Obras!$A$5:$A$19,0))="","",INDEX(Obras!$G$5:$G$19,MATCH($B77,Obras!$A$5:$A$19,0))),""))</x:f>
      </x:c>
      <x:c r="E77" s="259"/>
      <x:c r="F77" s="255"/>
      <x:c r="G77" s="259"/>
      <x:c r="H77" s="259"/>
      <x:c r="I77" s="259"/>
      <x:c r="J77" s="181" t="str">
        <x:f t="shared" si="2"/>
      </x:c>
      <x:c r="K77" s="176" t="str">
        <x:f t="shared" si="3"/>
      </x:c>
      <x:c r="L77" s="181" t="str">
        <x:f>IF($C77="","",IFERROR(IF(INDEX(Catalogo!$H$5:$H$86,MATCH($C77,Catalogo!$A$5:$A$86,0))="","",INDEX(Catalogo!$H$5:$H$86,MATCH($C77,Catalogo!$A$5:$A$86,0))),""))</x:f>
      </x:c>
      <x:c r="M77" s="176" t="str">
        <x:f>IF(OR($B77="",$L77=""),"",IFERROR(IF(INDEX(Obras!$H$5:$H$19,MATCH($B77,Obras!$A$5:$A$19,0))="","",IF(INDEX(Obras!$H$5:$H$19,MATCH($B77,Obras!$A$5:$A$19,0))&gt;$L77,"VENCIDA",IF($L77-INDEX(Obras!$H$5:$H$19,MATCH($B77,Obras!$A$5:$A$19,0))&lt;=0.5,"VENCE EM ATÉ 6 MESES","VIGENTE"))),""))</x:f>
      </x:c>
      <x:c r="N77" s="255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 ht="30" customHeight="1">
      <x:c r="A78" s="176" t="str">
        <x:f>IF(OR($B78="",$C78=""),"","LC-"&amp;TEXT(74,"0000"))</x:f>
      </x:c>
      <x:c r="B78" s="259"/>
      <x:c r="C78" s="259"/>
      <x:c r="D78" s="271" t="str">
        <x:f>IF($B78="","",IFERROR(IF(INDEX(Obras!$G$5:$G$19,MATCH($B78,Obras!$A$5:$A$19,0))="","",INDEX(Obras!$G$5:$G$19,MATCH($B78,Obras!$A$5:$A$19,0))),""))</x:f>
      </x:c>
      <x:c r="E78" s="259"/>
      <x:c r="F78" s="255"/>
      <x:c r="G78" s="259"/>
      <x:c r="H78" s="259"/>
      <x:c r="I78" s="259"/>
      <x:c r="J78" s="181" t="str">
        <x:f t="shared" si="2"/>
      </x:c>
      <x:c r="K78" s="176" t="str">
        <x:f t="shared" si="3"/>
      </x:c>
      <x:c r="L78" s="181" t="str">
        <x:f>IF($C78="","",IFERROR(IF(INDEX(Catalogo!$H$5:$H$86,MATCH($C78,Catalogo!$A$5:$A$86,0))="","",INDEX(Catalogo!$H$5:$H$86,MATCH($C78,Catalogo!$A$5:$A$86,0))),""))</x:f>
      </x:c>
      <x:c r="M78" s="176" t="str">
        <x:f>IF(OR($B78="",$L78=""),"",IFERROR(IF(INDEX(Obras!$H$5:$H$19,MATCH($B78,Obras!$A$5:$A$19,0))="","",IF(INDEX(Obras!$H$5:$H$19,MATCH($B78,Obras!$A$5:$A$19,0))&gt;$L78,"VENCIDA",IF($L78-INDEX(Obras!$H$5:$H$19,MATCH($B78,Obras!$A$5:$A$19,0))&lt;=0.5,"VENCE EM ATÉ 6 MESES","VIGENTE"))),""))</x:f>
      </x:c>
      <x:c r="N78" s="255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 ht="30" customHeight="1">
      <x:c r="A79" s="176" t="str">
        <x:f>IF(OR($B79="",$C79=""),"","LC-"&amp;TEXT(75,"0000"))</x:f>
      </x:c>
      <x:c r="B79" s="259"/>
      <x:c r="C79" s="259"/>
      <x:c r="D79" s="271" t="str">
        <x:f>IF($B79="","",IFERROR(IF(INDEX(Obras!$G$5:$G$19,MATCH($B79,Obras!$A$5:$A$19,0))="","",INDEX(Obras!$G$5:$G$19,MATCH($B79,Obras!$A$5:$A$19,0))),""))</x:f>
      </x:c>
      <x:c r="E79" s="259"/>
      <x:c r="F79" s="255"/>
      <x:c r="G79" s="259"/>
      <x:c r="H79" s="259"/>
      <x:c r="I79" s="259"/>
      <x:c r="J79" s="181" t="str">
        <x:f t="shared" si="2"/>
      </x:c>
      <x:c r="K79" s="176" t="str">
        <x:f t="shared" si="3"/>
      </x:c>
      <x:c r="L79" s="181" t="str">
        <x:f>IF($C79="","",IFERROR(IF(INDEX(Catalogo!$H$5:$H$86,MATCH($C79,Catalogo!$A$5:$A$86,0))="","",INDEX(Catalogo!$H$5:$H$86,MATCH($C79,Catalogo!$A$5:$A$86,0))),""))</x:f>
      </x:c>
      <x:c r="M79" s="176" t="str">
        <x:f>IF(OR($B79="",$L79=""),"",IFERROR(IF(INDEX(Obras!$H$5:$H$19,MATCH($B79,Obras!$A$5:$A$19,0))="","",IF(INDEX(Obras!$H$5:$H$19,MATCH($B79,Obras!$A$5:$A$19,0))&gt;$L79,"VENCIDA",IF($L79-INDEX(Obras!$H$5:$H$19,MATCH($B79,Obras!$A$5:$A$19,0))&lt;=0.5,"VENCE EM ATÉ 6 MESES","VIGENTE"))),""))</x:f>
      </x:c>
      <x:c r="N79" s="255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 ht="30" customHeight="1">
      <x:c r="A80" s="176" t="str">
        <x:f>IF(OR($B80="",$C80=""),"","LC-"&amp;TEXT(76,"0000"))</x:f>
      </x:c>
      <x:c r="B80" s="259"/>
      <x:c r="C80" s="259"/>
      <x:c r="D80" s="271" t="str">
        <x:f>IF($B80="","",IFERROR(IF(INDEX(Obras!$G$5:$G$19,MATCH($B80,Obras!$A$5:$A$19,0))="","",INDEX(Obras!$G$5:$G$19,MATCH($B80,Obras!$A$5:$A$19,0))),""))</x:f>
      </x:c>
      <x:c r="E80" s="259"/>
      <x:c r="F80" s="255"/>
      <x:c r="G80" s="259"/>
      <x:c r="H80" s="259"/>
      <x:c r="I80" s="259"/>
      <x:c r="J80" s="181" t="str">
        <x:f t="shared" si="2"/>
      </x:c>
      <x:c r="K80" s="176" t="str">
        <x:f t="shared" si="3"/>
      </x:c>
      <x:c r="L80" s="181" t="str">
        <x:f>IF($C80="","",IFERROR(IF(INDEX(Catalogo!$H$5:$H$86,MATCH($C80,Catalogo!$A$5:$A$86,0))="","",INDEX(Catalogo!$H$5:$H$86,MATCH($C80,Catalogo!$A$5:$A$86,0))),""))</x:f>
      </x:c>
      <x:c r="M80" s="176" t="str">
        <x:f>IF(OR($B80="",$L80=""),"",IFERROR(IF(INDEX(Obras!$H$5:$H$19,MATCH($B80,Obras!$A$5:$A$19,0))="","",IF(INDEX(Obras!$H$5:$H$19,MATCH($B80,Obras!$A$5:$A$19,0))&gt;$L80,"VENCIDA",IF($L80-INDEX(Obras!$H$5:$H$19,MATCH($B80,Obras!$A$5:$A$19,0))&lt;=0.5,"VENCE EM ATÉ 6 MESES","VIGENTE"))),""))</x:f>
      </x:c>
      <x:c r="N80" s="255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 ht="30" customHeight="1">
      <x:c r="A81" s="176" t="str">
        <x:f>IF(OR($B81="",$C81=""),"","LC-"&amp;TEXT(77,"0000"))</x:f>
      </x:c>
      <x:c r="B81" s="259"/>
      <x:c r="C81" s="259"/>
      <x:c r="D81" s="271" t="str">
        <x:f>IF($B81="","",IFERROR(IF(INDEX(Obras!$G$5:$G$19,MATCH($B81,Obras!$A$5:$A$19,0))="","",INDEX(Obras!$G$5:$G$19,MATCH($B81,Obras!$A$5:$A$19,0))),""))</x:f>
      </x:c>
      <x:c r="E81" s="259"/>
      <x:c r="F81" s="255"/>
      <x:c r="G81" s="259"/>
      <x:c r="H81" s="259"/>
      <x:c r="I81" s="259"/>
      <x:c r="J81" s="181" t="str">
        <x:f t="shared" si="2"/>
      </x:c>
      <x:c r="K81" s="176" t="str">
        <x:f t="shared" si="3"/>
      </x:c>
      <x:c r="L81" s="181" t="str">
        <x:f>IF($C81="","",IFERROR(IF(INDEX(Catalogo!$H$5:$H$86,MATCH($C81,Catalogo!$A$5:$A$86,0))="","",INDEX(Catalogo!$H$5:$H$86,MATCH($C81,Catalogo!$A$5:$A$86,0))),""))</x:f>
      </x:c>
      <x:c r="M81" s="176" t="str">
        <x:f>IF(OR($B81="",$L81=""),"",IFERROR(IF(INDEX(Obras!$H$5:$H$19,MATCH($B81,Obras!$A$5:$A$19,0))="","",IF(INDEX(Obras!$H$5:$H$19,MATCH($B81,Obras!$A$5:$A$19,0))&gt;$L81,"VENCIDA",IF($L81-INDEX(Obras!$H$5:$H$19,MATCH($B81,Obras!$A$5:$A$19,0))&lt;=0.5,"VENCE EM ATÉ 6 MESES","VIGENTE"))),""))</x:f>
      </x:c>
      <x:c r="N81" s="255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 ht="30" customHeight="1">
      <x:c r="A82" s="176" t="str">
        <x:f>IF(OR($B82="",$C82=""),"","LC-"&amp;TEXT(78,"0000"))</x:f>
      </x:c>
      <x:c r="B82" s="259"/>
      <x:c r="C82" s="259"/>
      <x:c r="D82" s="271" t="str">
        <x:f>IF($B82="","",IFERROR(IF(INDEX(Obras!$G$5:$G$19,MATCH($B82,Obras!$A$5:$A$19,0))="","",INDEX(Obras!$G$5:$G$19,MATCH($B82,Obras!$A$5:$A$19,0))),""))</x:f>
      </x:c>
      <x:c r="E82" s="259"/>
      <x:c r="F82" s="255"/>
      <x:c r="G82" s="259"/>
      <x:c r="H82" s="259"/>
      <x:c r="I82" s="259"/>
      <x:c r="J82" s="181" t="str">
        <x:f t="shared" si="2"/>
      </x:c>
      <x:c r="K82" s="176" t="str">
        <x:f t="shared" si="3"/>
      </x:c>
      <x:c r="L82" s="181" t="str">
        <x:f>IF($C82="","",IFERROR(IF(INDEX(Catalogo!$H$5:$H$86,MATCH($C82,Catalogo!$A$5:$A$86,0))="","",INDEX(Catalogo!$H$5:$H$86,MATCH($C82,Catalogo!$A$5:$A$86,0))),""))</x:f>
      </x:c>
      <x:c r="M82" s="176" t="str">
        <x:f>IF(OR($B82="",$L82=""),"",IFERROR(IF(INDEX(Obras!$H$5:$H$19,MATCH($B82,Obras!$A$5:$A$19,0))="","",IF(INDEX(Obras!$H$5:$H$19,MATCH($B82,Obras!$A$5:$A$19,0))&gt;$L82,"VENCIDA",IF($L82-INDEX(Obras!$H$5:$H$19,MATCH($B82,Obras!$A$5:$A$19,0))&lt;=0.5,"VENCE EM ATÉ 6 MESES","VIGENTE"))),""))</x:f>
      </x:c>
      <x:c r="N82" s="255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 ht="30" customHeight="1">
      <x:c r="A83" s="176" t="str">
        <x:f>IF(OR($B83="",$C83=""),"","LC-"&amp;TEXT(79,"0000"))</x:f>
      </x:c>
      <x:c r="B83" s="259"/>
      <x:c r="C83" s="259"/>
      <x:c r="D83" s="271" t="str">
        <x:f>IF($B83="","",IFERROR(IF(INDEX(Obras!$G$5:$G$19,MATCH($B83,Obras!$A$5:$A$19,0))="","",INDEX(Obras!$G$5:$G$19,MATCH($B83,Obras!$A$5:$A$19,0))),""))</x:f>
      </x:c>
      <x:c r="E83" s="259"/>
      <x:c r="F83" s="255"/>
      <x:c r="G83" s="259"/>
      <x:c r="H83" s="259"/>
      <x:c r="I83" s="259"/>
      <x:c r="J83" s="181" t="str">
        <x:f t="shared" si="2"/>
      </x:c>
      <x:c r="K83" s="176" t="str">
        <x:f t="shared" si="3"/>
      </x:c>
      <x:c r="L83" s="181" t="str">
        <x:f>IF($C83="","",IFERROR(IF(INDEX(Catalogo!$H$5:$H$86,MATCH($C83,Catalogo!$A$5:$A$86,0))="","",INDEX(Catalogo!$H$5:$H$86,MATCH($C83,Catalogo!$A$5:$A$86,0))),""))</x:f>
      </x:c>
      <x:c r="M83" s="176" t="str">
        <x:f>IF(OR($B83="",$L83=""),"",IFERROR(IF(INDEX(Obras!$H$5:$H$19,MATCH($B83,Obras!$A$5:$A$19,0))="","",IF(INDEX(Obras!$H$5:$H$19,MATCH($B83,Obras!$A$5:$A$19,0))&gt;$L83,"VENCIDA",IF($L83-INDEX(Obras!$H$5:$H$19,MATCH($B83,Obras!$A$5:$A$19,0))&lt;=0.5,"VENCE EM ATÉ 6 MESES","VIGENTE"))),""))</x:f>
      </x:c>
      <x:c r="N83" s="255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 ht="30" customHeight="1">
      <x:c r="A84" s="176" t="str">
        <x:f>IF(OR($B84="",$C84=""),"","LC-"&amp;TEXT(80,"0000"))</x:f>
      </x:c>
      <x:c r="B84" s="259"/>
      <x:c r="C84" s="259"/>
      <x:c r="D84" s="271" t="str">
        <x:f>IF($B84="","",IFERROR(IF(INDEX(Obras!$G$5:$G$19,MATCH($B84,Obras!$A$5:$A$19,0))="","",INDEX(Obras!$G$5:$G$19,MATCH($B84,Obras!$A$5:$A$19,0))),""))</x:f>
      </x:c>
      <x:c r="E84" s="259"/>
      <x:c r="F84" s="255"/>
      <x:c r="G84" s="259"/>
      <x:c r="H84" s="259"/>
      <x:c r="I84" s="259"/>
      <x:c r="J84" s="181" t="str">
        <x:f t="shared" si="2"/>
      </x:c>
      <x:c r="K84" s="176" t="str">
        <x:f t="shared" si="3"/>
      </x:c>
      <x:c r="L84" s="181" t="str">
        <x:f>IF($C84="","",IFERROR(IF(INDEX(Catalogo!$H$5:$H$86,MATCH($C84,Catalogo!$A$5:$A$86,0))="","",INDEX(Catalogo!$H$5:$H$86,MATCH($C84,Catalogo!$A$5:$A$86,0))),""))</x:f>
      </x:c>
      <x:c r="M84" s="176" t="str">
        <x:f>IF(OR($B84="",$L84=""),"",IFERROR(IF(INDEX(Obras!$H$5:$H$19,MATCH($B84,Obras!$A$5:$A$19,0))="","",IF(INDEX(Obras!$H$5:$H$19,MATCH($B84,Obras!$A$5:$A$19,0))&gt;$L84,"VENCIDA",IF($L84-INDEX(Obras!$H$5:$H$19,MATCH($B84,Obras!$A$5:$A$19,0))&lt;=0.5,"VENCE EM ATÉ 6 MESES","VIGENTE"))),""))</x:f>
      </x:c>
      <x:c r="N84" s="255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 ht="30" customHeight="1">
      <x:c r="A85" s="176" t="str">
        <x:f>IF(OR($B85="",$C85=""),"","LC-"&amp;TEXT(81,"0000"))</x:f>
      </x:c>
      <x:c r="B85" s="259"/>
      <x:c r="C85" s="259"/>
      <x:c r="D85" s="271" t="str">
        <x:f>IF($B85="","",IFERROR(IF(INDEX(Obras!$G$5:$G$19,MATCH($B85,Obras!$A$5:$A$19,0))="","",INDEX(Obras!$G$5:$G$19,MATCH($B85,Obras!$A$5:$A$19,0))),""))</x:f>
      </x:c>
      <x:c r="E85" s="259"/>
      <x:c r="F85" s="255"/>
      <x:c r="G85" s="259"/>
      <x:c r="H85" s="259"/>
      <x:c r="I85" s="259"/>
      <x:c r="J85" s="181" t="str">
        <x:f t="shared" si="2"/>
      </x:c>
      <x:c r="K85" s="176" t="str">
        <x:f t="shared" si="3"/>
      </x:c>
      <x:c r="L85" s="181" t="str">
        <x:f>IF($C85="","",IFERROR(IF(INDEX(Catalogo!$H$5:$H$86,MATCH($C85,Catalogo!$A$5:$A$86,0))="","",INDEX(Catalogo!$H$5:$H$86,MATCH($C85,Catalogo!$A$5:$A$86,0))),""))</x:f>
      </x:c>
      <x:c r="M85" s="176" t="str">
        <x:f>IF(OR($B85="",$L85=""),"",IFERROR(IF(INDEX(Obras!$H$5:$H$19,MATCH($B85,Obras!$A$5:$A$19,0))="","",IF(INDEX(Obras!$H$5:$H$19,MATCH($B85,Obras!$A$5:$A$19,0))&gt;$L85,"VENCIDA",IF($L85-INDEX(Obras!$H$5:$H$19,MATCH($B85,Obras!$A$5:$A$19,0))&lt;=0.5,"VENCE EM ATÉ 6 MESES","VIGENTE"))),""))</x:f>
      </x:c>
      <x:c r="N85" s="255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 ht="30" customHeight="1">
      <x:c r="A86" s="176" t="str">
        <x:f>IF(OR($B86="",$C86=""),"","LC-"&amp;TEXT(82,"0000"))</x:f>
      </x:c>
      <x:c r="B86" s="259"/>
      <x:c r="C86" s="259"/>
      <x:c r="D86" s="271" t="str">
        <x:f>IF($B86="","",IFERROR(IF(INDEX(Obras!$G$5:$G$19,MATCH($B86,Obras!$A$5:$A$19,0))="","",INDEX(Obras!$G$5:$G$19,MATCH($B86,Obras!$A$5:$A$19,0))),""))</x:f>
      </x:c>
      <x:c r="E86" s="259"/>
      <x:c r="F86" s="255"/>
      <x:c r="G86" s="259"/>
      <x:c r="H86" s="259"/>
      <x:c r="I86" s="259"/>
      <x:c r="J86" s="181" t="str">
        <x:f t="shared" si="2"/>
      </x:c>
      <x:c r="K86" s="176" t="str">
        <x:f t="shared" si="3"/>
      </x:c>
      <x:c r="L86" s="181" t="str">
        <x:f>IF($C86="","",IFERROR(IF(INDEX(Catalogo!$H$5:$H$86,MATCH($C86,Catalogo!$A$5:$A$86,0))="","",INDEX(Catalogo!$H$5:$H$86,MATCH($C86,Catalogo!$A$5:$A$86,0))),""))</x:f>
      </x:c>
      <x:c r="M86" s="176" t="str">
        <x:f>IF(OR($B86="",$L86=""),"",IFERROR(IF(INDEX(Obras!$H$5:$H$19,MATCH($B86,Obras!$A$5:$A$19,0))="","",IF(INDEX(Obras!$H$5:$H$19,MATCH($B86,Obras!$A$5:$A$19,0))&gt;$L86,"VENCIDA",IF($L86-INDEX(Obras!$H$5:$H$19,MATCH($B86,Obras!$A$5:$A$19,0))&lt;=0.5,"VENCE EM ATÉ 6 MESES","VIGENTE"))),""))</x:f>
      </x:c>
      <x:c r="N86" s="255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 ht="30" customHeight="1">
      <x:c r="A87" s="176" t="str">
        <x:f>IF(OR($B87="",$C87=""),"","LC-"&amp;TEXT(83,"0000"))</x:f>
      </x:c>
      <x:c r="B87" s="259"/>
      <x:c r="C87" s="259"/>
      <x:c r="D87" s="271" t="str">
        <x:f>IF($B87="","",IFERROR(IF(INDEX(Obras!$G$5:$G$19,MATCH($B87,Obras!$A$5:$A$19,0))="","",INDEX(Obras!$G$5:$G$19,MATCH($B87,Obras!$A$5:$A$19,0))),""))</x:f>
      </x:c>
      <x:c r="E87" s="259"/>
      <x:c r="F87" s="255"/>
      <x:c r="G87" s="259"/>
      <x:c r="H87" s="259"/>
      <x:c r="I87" s="259"/>
      <x:c r="J87" s="181" t="str">
        <x:f t="shared" si="2"/>
      </x:c>
      <x:c r="K87" s="176" t="str">
        <x:f t="shared" si="3"/>
      </x:c>
      <x:c r="L87" s="181" t="str">
        <x:f>IF($C87="","",IFERROR(IF(INDEX(Catalogo!$H$5:$H$86,MATCH($C87,Catalogo!$A$5:$A$86,0))="","",INDEX(Catalogo!$H$5:$H$86,MATCH($C87,Catalogo!$A$5:$A$86,0))),""))</x:f>
      </x:c>
      <x:c r="M87" s="176" t="str">
        <x:f>IF(OR($B87="",$L87=""),"",IFERROR(IF(INDEX(Obras!$H$5:$H$19,MATCH($B87,Obras!$A$5:$A$19,0))="","",IF(INDEX(Obras!$H$5:$H$19,MATCH($B87,Obras!$A$5:$A$19,0))&gt;$L87,"VENCIDA",IF($L87-INDEX(Obras!$H$5:$H$19,MATCH($B87,Obras!$A$5:$A$19,0))&lt;=0.5,"VENCE EM ATÉ 6 MESES","VIGENTE"))),""))</x:f>
      </x:c>
      <x:c r="N87" s="255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 ht="30" customHeight="1">
      <x:c r="A88" s="176" t="str">
        <x:f>IF(OR($B88="",$C88=""),"","LC-"&amp;TEXT(84,"0000"))</x:f>
      </x:c>
      <x:c r="B88" s="259"/>
      <x:c r="C88" s="259"/>
      <x:c r="D88" s="271" t="str">
        <x:f>IF($B88="","",IFERROR(IF(INDEX(Obras!$G$5:$G$19,MATCH($B88,Obras!$A$5:$A$19,0))="","",INDEX(Obras!$G$5:$G$19,MATCH($B88,Obras!$A$5:$A$19,0))),""))</x:f>
      </x:c>
      <x:c r="E88" s="259"/>
      <x:c r="F88" s="255"/>
      <x:c r="G88" s="259"/>
      <x:c r="H88" s="259"/>
      <x:c r="I88" s="259"/>
      <x:c r="J88" s="181" t="str">
        <x:f t="shared" si="2"/>
      </x:c>
      <x:c r="K88" s="176" t="str">
        <x:f t="shared" si="3"/>
      </x:c>
      <x:c r="L88" s="181" t="str">
        <x:f>IF($C88="","",IFERROR(IF(INDEX(Catalogo!$H$5:$H$86,MATCH($C88,Catalogo!$A$5:$A$86,0))="","",INDEX(Catalogo!$H$5:$H$86,MATCH($C88,Catalogo!$A$5:$A$86,0))),""))</x:f>
      </x:c>
      <x:c r="M88" s="176" t="str">
        <x:f>IF(OR($B88="",$L88=""),"",IFERROR(IF(INDEX(Obras!$H$5:$H$19,MATCH($B88,Obras!$A$5:$A$19,0))="","",IF(INDEX(Obras!$H$5:$H$19,MATCH($B88,Obras!$A$5:$A$19,0))&gt;$L88,"VENCIDA",IF($L88-INDEX(Obras!$H$5:$H$19,MATCH($B88,Obras!$A$5:$A$19,0))&lt;=0.5,"VENCE EM ATÉ 6 MESES","VIGENTE"))),""))</x:f>
      </x:c>
      <x:c r="N88" s="255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 ht="30" customHeight="1">
      <x:c r="A89" s="176" t="str">
        <x:f>IF(OR($B89="",$C89=""),"","LC-"&amp;TEXT(85,"0000"))</x:f>
      </x:c>
      <x:c r="B89" s="259"/>
      <x:c r="C89" s="259"/>
      <x:c r="D89" s="271" t="str">
        <x:f>IF($B89="","",IFERROR(IF(INDEX(Obras!$G$5:$G$19,MATCH($B89,Obras!$A$5:$A$19,0))="","",INDEX(Obras!$G$5:$G$19,MATCH($B89,Obras!$A$5:$A$19,0))),""))</x:f>
      </x:c>
      <x:c r="E89" s="259"/>
      <x:c r="F89" s="255"/>
      <x:c r="G89" s="259"/>
      <x:c r="H89" s="259"/>
      <x:c r="I89" s="259"/>
      <x:c r="J89" s="181" t="str">
        <x:f t="shared" si="2"/>
      </x:c>
      <x:c r="K89" s="176" t="str">
        <x:f t="shared" si="3"/>
      </x:c>
      <x:c r="L89" s="181" t="str">
        <x:f>IF($C89="","",IFERROR(IF(INDEX(Catalogo!$H$5:$H$86,MATCH($C89,Catalogo!$A$5:$A$86,0))="","",INDEX(Catalogo!$H$5:$H$86,MATCH($C89,Catalogo!$A$5:$A$86,0))),""))</x:f>
      </x:c>
      <x:c r="M89" s="176" t="str">
        <x:f>IF(OR($B89="",$L89=""),"",IFERROR(IF(INDEX(Obras!$H$5:$H$19,MATCH($B89,Obras!$A$5:$A$19,0))="","",IF(INDEX(Obras!$H$5:$H$19,MATCH($B89,Obras!$A$5:$A$19,0))&gt;$L89,"VENCIDA",IF($L89-INDEX(Obras!$H$5:$H$19,MATCH($B89,Obras!$A$5:$A$19,0))&lt;=0.5,"VENCE EM ATÉ 6 MESES","VIGENTE"))),""))</x:f>
      </x:c>
      <x:c r="N89" s="255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 ht="30" customHeight="1">
      <x:c r="A90" s="176" t="str">
        <x:f>IF(OR($B90="",$C90=""),"","LC-"&amp;TEXT(86,"0000"))</x:f>
      </x:c>
      <x:c r="B90" s="259"/>
      <x:c r="C90" s="259"/>
      <x:c r="D90" s="271" t="str">
        <x:f>IF($B90="","",IFERROR(IF(INDEX(Obras!$G$5:$G$19,MATCH($B90,Obras!$A$5:$A$19,0))="","",INDEX(Obras!$G$5:$G$19,MATCH($B90,Obras!$A$5:$A$19,0))),""))</x:f>
      </x:c>
      <x:c r="E90" s="259"/>
      <x:c r="F90" s="255"/>
      <x:c r="G90" s="259"/>
      <x:c r="H90" s="259"/>
      <x:c r="I90" s="259"/>
      <x:c r="J90" s="181" t="str">
        <x:f t="shared" si="2"/>
      </x:c>
      <x:c r="K90" s="176" t="str">
        <x:f t="shared" si="3"/>
      </x:c>
      <x:c r="L90" s="181" t="str">
        <x:f>IF($C90="","",IFERROR(IF(INDEX(Catalogo!$H$5:$H$86,MATCH($C90,Catalogo!$A$5:$A$86,0))="","",INDEX(Catalogo!$H$5:$H$86,MATCH($C90,Catalogo!$A$5:$A$86,0))),""))</x:f>
      </x:c>
      <x:c r="M90" s="176" t="str">
        <x:f>IF(OR($B90="",$L90=""),"",IFERROR(IF(INDEX(Obras!$H$5:$H$19,MATCH($B90,Obras!$A$5:$A$19,0))="","",IF(INDEX(Obras!$H$5:$H$19,MATCH($B90,Obras!$A$5:$A$19,0))&gt;$L90,"VENCIDA",IF($L90-INDEX(Obras!$H$5:$H$19,MATCH($B90,Obras!$A$5:$A$19,0))&lt;=0.5,"VENCE EM ATÉ 6 MESES","VIGENTE"))),""))</x:f>
      </x:c>
      <x:c r="N90" s="255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 ht="30" customHeight="1">
      <x:c r="A91" s="176" t="str">
        <x:f>IF(OR($B91="",$C91=""),"","LC-"&amp;TEXT(87,"0000"))</x:f>
      </x:c>
      <x:c r="B91" s="259"/>
      <x:c r="C91" s="259"/>
      <x:c r="D91" s="271" t="str">
        <x:f>IF($B91="","",IFERROR(IF(INDEX(Obras!$G$5:$G$19,MATCH($B91,Obras!$A$5:$A$19,0))="","",INDEX(Obras!$G$5:$G$19,MATCH($B91,Obras!$A$5:$A$19,0))),""))</x:f>
      </x:c>
      <x:c r="E91" s="259"/>
      <x:c r="F91" s="255"/>
      <x:c r="G91" s="259"/>
      <x:c r="H91" s="259"/>
      <x:c r="I91" s="259"/>
      <x:c r="J91" s="181" t="str">
        <x:f t="shared" si="2"/>
      </x:c>
      <x:c r="K91" s="176" t="str">
        <x:f t="shared" si="3"/>
      </x:c>
      <x:c r="L91" s="181" t="str">
        <x:f>IF($C91="","",IFERROR(IF(INDEX(Catalogo!$H$5:$H$86,MATCH($C91,Catalogo!$A$5:$A$86,0))="","",INDEX(Catalogo!$H$5:$H$86,MATCH($C91,Catalogo!$A$5:$A$86,0))),""))</x:f>
      </x:c>
      <x:c r="M91" s="176" t="str">
        <x:f>IF(OR($B91="",$L91=""),"",IFERROR(IF(INDEX(Obras!$H$5:$H$19,MATCH($B91,Obras!$A$5:$A$19,0))="","",IF(INDEX(Obras!$H$5:$H$19,MATCH($B91,Obras!$A$5:$A$19,0))&gt;$L91,"VENCIDA",IF($L91-INDEX(Obras!$H$5:$H$19,MATCH($B91,Obras!$A$5:$A$19,0))&lt;=0.5,"VENCE EM ATÉ 6 MESES","VIGENTE"))),""))</x:f>
      </x:c>
      <x:c r="N91" s="255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 ht="30" customHeight="1">
      <x:c r="A92" s="176" t="str">
        <x:f>IF(OR($B92="",$C92=""),"","LC-"&amp;TEXT(88,"0000"))</x:f>
      </x:c>
      <x:c r="B92" s="259"/>
      <x:c r="C92" s="259"/>
      <x:c r="D92" s="271" t="str">
        <x:f>IF($B92="","",IFERROR(IF(INDEX(Obras!$G$5:$G$19,MATCH($B92,Obras!$A$5:$A$19,0))="","",INDEX(Obras!$G$5:$G$19,MATCH($B92,Obras!$A$5:$A$19,0))),""))</x:f>
      </x:c>
      <x:c r="E92" s="259"/>
      <x:c r="F92" s="255"/>
      <x:c r="G92" s="259"/>
      <x:c r="H92" s="259"/>
      <x:c r="I92" s="259"/>
      <x:c r="J92" s="181" t="str">
        <x:f t="shared" si="2"/>
      </x:c>
      <x:c r="K92" s="176" t="str">
        <x:f t="shared" si="3"/>
      </x:c>
      <x:c r="L92" s="181" t="str">
        <x:f>IF($C92="","",IFERROR(IF(INDEX(Catalogo!$H$5:$H$86,MATCH($C92,Catalogo!$A$5:$A$86,0))="","",INDEX(Catalogo!$H$5:$H$86,MATCH($C92,Catalogo!$A$5:$A$86,0))),""))</x:f>
      </x:c>
      <x:c r="M92" s="176" t="str">
        <x:f>IF(OR($B92="",$L92=""),"",IFERROR(IF(INDEX(Obras!$H$5:$H$19,MATCH($B92,Obras!$A$5:$A$19,0))="","",IF(INDEX(Obras!$H$5:$H$19,MATCH($B92,Obras!$A$5:$A$19,0))&gt;$L92,"VENCIDA",IF($L92-INDEX(Obras!$H$5:$H$19,MATCH($B92,Obras!$A$5:$A$19,0))&lt;=0.5,"VENCE EM ATÉ 6 MESES","VIGENTE"))),""))</x:f>
      </x:c>
      <x:c r="N92" s="255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 ht="30" customHeight="1">
      <x:c r="A93" s="176" t="str">
        <x:f>IF(OR($B93="",$C93=""),"","LC-"&amp;TEXT(89,"0000"))</x:f>
      </x:c>
      <x:c r="B93" s="259"/>
      <x:c r="C93" s="259"/>
      <x:c r="D93" s="271" t="str">
        <x:f>IF($B93="","",IFERROR(IF(INDEX(Obras!$G$5:$G$19,MATCH($B93,Obras!$A$5:$A$19,0))="","",INDEX(Obras!$G$5:$G$19,MATCH($B93,Obras!$A$5:$A$19,0))),""))</x:f>
      </x:c>
      <x:c r="E93" s="259"/>
      <x:c r="F93" s="255"/>
      <x:c r="G93" s="259"/>
      <x:c r="H93" s="259"/>
      <x:c r="I93" s="259"/>
      <x:c r="J93" s="181" t="str">
        <x:f t="shared" si="2"/>
      </x:c>
      <x:c r="K93" s="176" t="str">
        <x:f t="shared" si="3"/>
      </x:c>
      <x:c r="L93" s="181" t="str">
        <x:f>IF($C93="","",IFERROR(IF(INDEX(Catalogo!$H$5:$H$86,MATCH($C93,Catalogo!$A$5:$A$86,0))="","",INDEX(Catalogo!$H$5:$H$86,MATCH($C93,Catalogo!$A$5:$A$86,0))),""))</x:f>
      </x:c>
      <x:c r="M93" s="176" t="str">
        <x:f>IF(OR($B93="",$L93=""),"",IFERROR(IF(INDEX(Obras!$H$5:$H$19,MATCH($B93,Obras!$A$5:$A$19,0))="","",IF(INDEX(Obras!$H$5:$H$19,MATCH($B93,Obras!$A$5:$A$19,0))&gt;$L93,"VENCIDA",IF($L93-INDEX(Obras!$H$5:$H$19,MATCH($B93,Obras!$A$5:$A$19,0))&lt;=0.5,"VENCE EM ATÉ 6 MESES","VIGENTE"))),""))</x:f>
      </x:c>
      <x:c r="N93" s="255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 ht="30" customHeight="1">
      <x:c r="A94" s="176" t="str">
        <x:f>IF(OR($B94="",$C94=""),"","LC-"&amp;TEXT(90,"0000"))</x:f>
      </x:c>
      <x:c r="B94" s="259"/>
      <x:c r="C94" s="259"/>
      <x:c r="D94" s="271" t="str">
        <x:f>IF($B94="","",IFERROR(IF(INDEX(Obras!$G$5:$G$19,MATCH($B94,Obras!$A$5:$A$19,0))="","",INDEX(Obras!$G$5:$G$19,MATCH($B94,Obras!$A$5:$A$19,0))),""))</x:f>
      </x:c>
      <x:c r="E94" s="259"/>
      <x:c r="F94" s="255"/>
      <x:c r="G94" s="259"/>
      <x:c r="H94" s="259"/>
      <x:c r="I94" s="259"/>
      <x:c r="J94" s="181" t="str">
        <x:f t="shared" si="2"/>
      </x:c>
      <x:c r="K94" s="176" t="str">
        <x:f t="shared" si="3"/>
      </x:c>
      <x:c r="L94" s="181" t="str">
        <x:f>IF($C94="","",IFERROR(IF(INDEX(Catalogo!$H$5:$H$86,MATCH($C94,Catalogo!$A$5:$A$86,0))="","",INDEX(Catalogo!$H$5:$H$86,MATCH($C94,Catalogo!$A$5:$A$86,0))),""))</x:f>
      </x:c>
      <x:c r="M94" s="176" t="str">
        <x:f>IF(OR($B94="",$L94=""),"",IFERROR(IF(INDEX(Obras!$H$5:$H$19,MATCH($B94,Obras!$A$5:$A$19,0))="","",IF(INDEX(Obras!$H$5:$H$19,MATCH($B94,Obras!$A$5:$A$19,0))&gt;$L94,"VENCIDA",IF($L94-INDEX(Obras!$H$5:$H$19,MATCH($B94,Obras!$A$5:$A$19,0))&lt;=0.5,"VENCE EM ATÉ 6 MESES","VIGENTE"))),""))</x:f>
      </x:c>
      <x:c r="N94" s="255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 ht="30" customHeight="1">
      <x:c r="A95" s="176" t="str">
        <x:f>IF(OR($B95="",$C95=""),"","LC-"&amp;TEXT(91,"0000"))</x:f>
      </x:c>
      <x:c r="B95" s="259"/>
      <x:c r="C95" s="259"/>
      <x:c r="D95" s="271" t="str">
        <x:f>IF($B95="","",IFERROR(IF(INDEX(Obras!$G$5:$G$19,MATCH($B95,Obras!$A$5:$A$19,0))="","",INDEX(Obras!$G$5:$G$19,MATCH($B95,Obras!$A$5:$A$19,0))),""))</x:f>
      </x:c>
      <x:c r="E95" s="259"/>
      <x:c r="F95" s="255"/>
      <x:c r="G95" s="259"/>
      <x:c r="H95" s="259"/>
      <x:c r="I95" s="259"/>
      <x:c r="J95" s="181" t="str">
        <x:f t="shared" si="2"/>
      </x:c>
      <x:c r="K95" s="176" t="str">
        <x:f t="shared" si="3"/>
      </x:c>
      <x:c r="L95" s="181" t="str">
        <x:f>IF($C95="","",IFERROR(IF(INDEX(Catalogo!$H$5:$H$86,MATCH($C95,Catalogo!$A$5:$A$86,0))="","",INDEX(Catalogo!$H$5:$H$86,MATCH($C95,Catalogo!$A$5:$A$86,0))),""))</x:f>
      </x:c>
      <x:c r="M95" s="176" t="str">
        <x:f>IF(OR($B95="",$L95=""),"",IFERROR(IF(INDEX(Obras!$H$5:$H$19,MATCH($B95,Obras!$A$5:$A$19,0))="","",IF(INDEX(Obras!$H$5:$H$19,MATCH($B95,Obras!$A$5:$A$19,0))&gt;$L95,"VENCIDA",IF($L95-INDEX(Obras!$H$5:$H$19,MATCH($B95,Obras!$A$5:$A$19,0))&lt;=0.5,"VENCE EM ATÉ 6 MESES","VIGENTE"))),""))</x:f>
      </x:c>
      <x:c r="N95" s="255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 ht="30" customHeight="1">
      <x:c r="A96" s="176" t="str">
        <x:f>IF(OR($B96="",$C96=""),"","LC-"&amp;TEXT(92,"0000"))</x:f>
      </x:c>
      <x:c r="B96" s="259"/>
      <x:c r="C96" s="259"/>
      <x:c r="D96" s="271" t="str">
        <x:f>IF($B96="","",IFERROR(IF(INDEX(Obras!$G$5:$G$19,MATCH($B96,Obras!$A$5:$A$19,0))="","",INDEX(Obras!$G$5:$G$19,MATCH($B96,Obras!$A$5:$A$19,0))),""))</x:f>
      </x:c>
      <x:c r="E96" s="259"/>
      <x:c r="F96" s="255"/>
      <x:c r="G96" s="259"/>
      <x:c r="H96" s="259"/>
      <x:c r="I96" s="259"/>
      <x:c r="J96" s="181" t="str">
        <x:f t="shared" si="2"/>
      </x:c>
      <x:c r="K96" s="176" t="str">
        <x:f t="shared" si="3"/>
      </x:c>
      <x:c r="L96" s="181" t="str">
        <x:f>IF($C96="","",IFERROR(IF(INDEX(Catalogo!$H$5:$H$86,MATCH($C96,Catalogo!$A$5:$A$86,0))="","",INDEX(Catalogo!$H$5:$H$86,MATCH($C96,Catalogo!$A$5:$A$86,0))),""))</x:f>
      </x:c>
      <x:c r="M96" s="176" t="str">
        <x:f>IF(OR($B96="",$L96=""),"",IFERROR(IF(INDEX(Obras!$H$5:$H$19,MATCH($B96,Obras!$A$5:$A$19,0))="","",IF(INDEX(Obras!$H$5:$H$19,MATCH($B96,Obras!$A$5:$A$19,0))&gt;$L96,"VENCIDA",IF($L96-INDEX(Obras!$H$5:$H$19,MATCH($B96,Obras!$A$5:$A$19,0))&lt;=0.5,"VENCE EM ATÉ 6 MESES","VIGENTE"))),""))</x:f>
      </x:c>
      <x:c r="N96" s="255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 ht="30" customHeight="1">
      <x:c r="A97" s="176" t="str">
        <x:f>IF(OR($B97="",$C97=""),"","LC-"&amp;TEXT(93,"0000"))</x:f>
      </x:c>
      <x:c r="B97" s="259"/>
      <x:c r="C97" s="259"/>
      <x:c r="D97" s="271" t="str">
        <x:f>IF($B97="","",IFERROR(IF(INDEX(Obras!$G$5:$G$19,MATCH($B97,Obras!$A$5:$A$19,0))="","",INDEX(Obras!$G$5:$G$19,MATCH($B97,Obras!$A$5:$A$19,0))),""))</x:f>
      </x:c>
      <x:c r="E97" s="259"/>
      <x:c r="F97" s="255"/>
      <x:c r="G97" s="259"/>
      <x:c r="H97" s="259"/>
      <x:c r="I97" s="259"/>
      <x:c r="J97" s="181" t="str">
        <x:f t="shared" si="2"/>
      </x:c>
      <x:c r="K97" s="176" t="str">
        <x:f t="shared" si="3"/>
      </x:c>
      <x:c r="L97" s="181" t="str">
        <x:f>IF($C97="","",IFERROR(IF(INDEX(Catalogo!$H$5:$H$86,MATCH($C97,Catalogo!$A$5:$A$86,0))="","",INDEX(Catalogo!$H$5:$H$86,MATCH($C97,Catalogo!$A$5:$A$86,0))),""))</x:f>
      </x:c>
      <x:c r="M97" s="176" t="str">
        <x:f>IF(OR($B97="",$L97=""),"",IFERROR(IF(INDEX(Obras!$H$5:$H$19,MATCH($B97,Obras!$A$5:$A$19,0))="","",IF(INDEX(Obras!$H$5:$H$19,MATCH($B97,Obras!$A$5:$A$19,0))&gt;$L97,"VENCIDA",IF($L97-INDEX(Obras!$H$5:$H$19,MATCH($B97,Obras!$A$5:$A$19,0))&lt;=0.5,"VENCE EM ATÉ 6 MESES","VIGENTE"))),""))</x:f>
      </x:c>
      <x:c r="N97" s="255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 ht="30" customHeight="1">
      <x:c r="A98" s="176" t="str">
        <x:f>IF(OR($B98="",$C98=""),"","LC-"&amp;TEXT(94,"0000"))</x:f>
      </x:c>
      <x:c r="B98" s="259"/>
      <x:c r="C98" s="259"/>
      <x:c r="D98" s="271" t="str">
        <x:f>IF($B98="","",IFERROR(IF(INDEX(Obras!$G$5:$G$19,MATCH($B98,Obras!$A$5:$A$19,0))="","",INDEX(Obras!$G$5:$G$19,MATCH($B98,Obras!$A$5:$A$19,0))),""))</x:f>
      </x:c>
      <x:c r="E98" s="259"/>
      <x:c r="F98" s="255"/>
      <x:c r="G98" s="259"/>
      <x:c r="H98" s="259"/>
      <x:c r="I98" s="259"/>
      <x:c r="J98" s="181" t="str">
        <x:f t="shared" si="2"/>
      </x:c>
      <x:c r="K98" s="176" t="str">
        <x:f t="shared" si="3"/>
      </x:c>
      <x:c r="L98" s="181" t="str">
        <x:f>IF($C98="","",IFERROR(IF(INDEX(Catalogo!$H$5:$H$86,MATCH($C98,Catalogo!$A$5:$A$86,0))="","",INDEX(Catalogo!$H$5:$H$86,MATCH($C98,Catalogo!$A$5:$A$86,0))),""))</x:f>
      </x:c>
      <x:c r="M98" s="176" t="str">
        <x:f>IF(OR($B98="",$L98=""),"",IFERROR(IF(INDEX(Obras!$H$5:$H$19,MATCH($B98,Obras!$A$5:$A$19,0))="","",IF(INDEX(Obras!$H$5:$H$19,MATCH($B98,Obras!$A$5:$A$19,0))&gt;$L98,"VENCIDA",IF($L98-INDEX(Obras!$H$5:$H$19,MATCH($B98,Obras!$A$5:$A$19,0))&lt;=0.5,"VENCE EM ATÉ 6 MESES","VIGENTE"))),""))</x:f>
      </x:c>
      <x:c r="N98" s="255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 ht="30" customHeight="1">
      <x:c r="A99" s="176" t="str">
        <x:f>IF(OR($B99="",$C99=""),"","LC-"&amp;TEXT(95,"0000"))</x:f>
      </x:c>
      <x:c r="B99" s="259"/>
      <x:c r="C99" s="259"/>
      <x:c r="D99" s="271" t="str">
        <x:f>IF($B99="","",IFERROR(IF(INDEX(Obras!$G$5:$G$19,MATCH($B99,Obras!$A$5:$A$19,0))="","",INDEX(Obras!$G$5:$G$19,MATCH($B99,Obras!$A$5:$A$19,0))),""))</x:f>
      </x:c>
      <x:c r="E99" s="259"/>
      <x:c r="F99" s="255"/>
      <x:c r="G99" s="259"/>
      <x:c r="H99" s="259"/>
      <x:c r="I99" s="259"/>
      <x:c r="J99" s="181" t="str">
        <x:f t="shared" si="2"/>
      </x:c>
      <x:c r="K99" s="176" t="str">
        <x:f t="shared" si="3"/>
      </x:c>
      <x:c r="L99" s="181" t="str">
        <x:f>IF($C99="","",IFERROR(IF(INDEX(Catalogo!$H$5:$H$86,MATCH($C99,Catalogo!$A$5:$A$86,0))="","",INDEX(Catalogo!$H$5:$H$86,MATCH($C99,Catalogo!$A$5:$A$86,0))),""))</x:f>
      </x:c>
      <x:c r="M99" s="176" t="str">
        <x:f>IF(OR($B99="",$L99=""),"",IFERROR(IF(INDEX(Obras!$H$5:$H$19,MATCH($B99,Obras!$A$5:$A$19,0))="","",IF(INDEX(Obras!$H$5:$H$19,MATCH($B99,Obras!$A$5:$A$19,0))&gt;$L99,"VENCIDA",IF($L99-INDEX(Obras!$H$5:$H$19,MATCH($B99,Obras!$A$5:$A$19,0))&lt;=0.5,"VENCE EM ATÉ 6 MESES","VIGENTE"))),""))</x:f>
      </x:c>
      <x:c r="N99" s="255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 ht="30" customHeight="1">
      <x:c r="A100" s="176" t="str">
        <x:f>IF(OR($B100="",$C100=""),"","LC-"&amp;TEXT(96,"0000"))</x:f>
      </x:c>
      <x:c r="B100" s="259"/>
      <x:c r="C100" s="259"/>
      <x:c r="D100" s="271" t="str">
        <x:f>IF($B100="","",IFERROR(IF(INDEX(Obras!$G$5:$G$19,MATCH($B100,Obras!$A$5:$A$19,0))="","",INDEX(Obras!$G$5:$G$19,MATCH($B100,Obras!$A$5:$A$19,0))),""))</x:f>
      </x:c>
      <x:c r="E100" s="259"/>
      <x:c r="F100" s="255"/>
      <x:c r="G100" s="259"/>
      <x:c r="H100" s="259"/>
      <x:c r="I100" s="259"/>
      <x:c r="J100" s="181" t="str">
        <x:f t="shared" si="2"/>
      </x:c>
      <x:c r="K100" s="176" t="str">
        <x:f t="shared" si="3"/>
      </x:c>
      <x:c r="L100" s="181" t="str">
        <x:f>IF($C100="","",IFERROR(IF(INDEX(Catalogo!$H$5:$H$86,MATCH($C100,Catalogo!$A$5:$A$86,0))="","",INDEX(Catalogo!$H$5:$H$86,MATCH($C100,Catalogo!$A$5:$A$86,0))),""))</x:f>
      </x:c>
      <x:c r="M100" s="176" t="str">
        <x:f>IF(OR($B100="",$L100=""),"",IFERROR(IF(INDEX(Obras!$H$5:$H$19,MATCH($B100,Obras!$A$5:$A$19,0))="","",IF(INDEX(Obras!$H$5:$H$19,MATCH($B100,Obras!$A$5:$A$19,0))&gt;$L100,"VENCIDA",IF($L100-INDEX(Obras!$H$5:$H$19,MATCH($B100,Obras!$A$5:$A$19,0))&lt;=0.5,"VENCE EM ATÉ 6 MESES","VIGENTE"))),""))</x:f>
      </x:c>
      <x:c r="N100" s="255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  <x:row r="101" ht="30" customHeight="1">
      <x:c r="A101" s="176" t="str">
        <x:f>IF(OR($B101="",$C101=""),"","LC-"&amp;TEXT(97,"0000"))</x:f>
      </x:c>
      <x:c r="B101" s="259"/>
      <x:c r="C101" s="259"/>
      <x:c r="D101" s="271" t="str">
        <x:f>IF($B101="","",IFERROR(IF(INDEX(Obras!$G$5:$G$19,MATCH($B101,Obras!$A$5:$A$19,0))="","",INDEX(Obras!$G$5:$G$19,MATCH($B101,Obras!$A$5:$A$19,0))),""))</x:f>
      </x:c>
      <x:c r="E101" s="259"/>
      <x:c r="F101" s="268"/>
      <x:c r="G101" s="259"/>
      <x:c r="H101" s="259"/>
      <x:c r="I101" s="259"/>
      <x:c r="J101" s="181" t="str">
        <x:f t="shared" si="2"/>
      </x:c>
      <x:c r="K101" s="176" t="str">
        <x:f t="shared" si="3"/>
      </x:c>
      <x:c r="L101" s="181" t="str">
        <x:f>IF($C101="","",IFERROR(IF(INDEX(Catalogo!$H$5:$H$86,MATCH($C101,Catalogo!$A$5:$A$86,0))="","",INDEX(Catalogo!$H$5:$H$86,MATCH($C101,Catalogo!$A$5:$A$86,0))),""))</x:f>
      </x:c>
      <x:c r="M101" s="176" t="str">
        <x:f>IF(OR($B101="",$L101=""),"",IFERROR(IF(INDEX(Obras!$H$5:$H$19,MATCH($B101,Obras!$A$5:$A$19,0))="","",IF(INDEX(Obras!$H$5:$H$19,MATCH($B101,Obras!$A$5:$A$19,0))&gt;$L101,"VENCIDA",IF($L101-INDEX(Obras!$H$5:$H$19,MATCH($B101,Obras!$A$5:$A$19,0))&lt;=0.5,"VENCE EM ATÉ 6 MESES","VIGENTE"))),""))</x:f>
      </x:c>
      <x:c r="N101" s="268"/>
    </x:row>
    <x:row r="102" ht="30" customHeight="1">
      <x:c r="A102" s="176" t="str">
        <x:f>IF(OR($B102="",$C102=""),"","LC-"&amp;TEXT(98,"0000"))</x:f>
      </x:c>
      <x:c r="B102" s="259"/>
      <x:c r="C102" s="259"/>
      <x:c r="D102" s="271" t="str">
        <x:f>IF($B102="","",IFERROR(IF(INDEX(Obras!$G$5:$G$19,MATCH($B102,Obras!$A$5:$A$19,0))="","",INDEX(Obras!$G$5:$G$19,MATCH($B102,Obras!$A$5:$A$19,0))),""))</x:f>
      </x:c>
      <x:c r="E102" s="259"/>
      <x:c r="F102" s="268"/>
      <x:c r="G102" s="259"/>
      <x:c r="H102" s="259"/>
      <x:c r="I102" s="259"/>
      <x:c r="J102" s="181" t="str">
        <x:f t="shared" si="2"/>
      </x:c>
      <x:c r="K102" s="176" t="str">
        <x:f t="shared" si="3"/>
      </x:c>
      <x:c r="L102" s="181" t="str">
        <x:f>IF($C102="","",IFERROR(IF(INDEX(Catalogo!$H$5:$H$86,MATCH($C102,Catalogo!$A$5:$A$86,0))="","",INDEX(Catalogo!$H$5:$H$86,MATCH($C102,Catalogo!$A$5:$A$86,0))),""))</x:f>
      </x:c>
      <x:c r="M102" s="176" t="str">
        <x:f>IF(OR($B102="",$L102=""),"",IFERROR(IF(INDEX(Obras!$H$5:$H$19,MATCH($B102,Obras!$A$5:$A$19,0))="","",IF(INDEX(Obras!$H$5:$H$19,MATCH($B102,Obras!$A$5:$A$19,0))&gt;$L102,"VENCIDA",IF($L102-INDEX(Obras!$H$5:$H$19,MATCH($B102,Obras!$A$5:$A$19,0))&lt;=0.5,"VENCE EM ATÉ 6 MESES","VIGENTE"))),""))</x:f>
      </x:c>
      <x:c r="N102" s="268"/>
    </x:row>
    <x:row r="103" ht="30" customHeight="1">
      <x:c r="A103" s="176" t="str">
        <x:f>IF(OR($B103="",$C103=""),"","LC-"&amp;TEXT(99,"0000"))</x:f>
      </x:c>
      <x:c r="B103" s="259"/>
      <x:c r="C103" s="259"/>
      <x:c r="D103" s="271" t="str">
        <x:f>IF($B103="","",IFERROR(IF(INDEX(Obras!$G$5:$G$19,MATCH($B103,Obras!$A$5:$A$19,0))="","",INDEX(Obras!$G$5:$G$19,MATCH($B103,Obras!$A$5:$A$19,0))),""))</x:f>
      </x:c>
      <x:c r="E103" s="259"/>
      <x:c r="F103" s="268"/>
      <x:c r="G103" s="259"/>
      <x:c r="H103" s="259"/>
      <x:c r="I103" s="259"/>
      <x:c r="J103" s="181" t="str">
        <x:f t="shared" si="2"/>
      </x:c>
      <x:c r="K103" s="176" t="str">
        <x:f t="shared" si="3"/>
      </x:c>
      <x:c r="L103" s="181" t="str">
        <x:f>IF($C103="","",IFERROR(IF(INDEX(Catalogo!$H$5:$H$86,MATCH($C103,Catalogo!$A$5:$A$86,0))="","",INDEX(Catalogo!$H$5:$H$86,MATCH($C103,Catalogo!$A$5:$A$86,0))),""))</x:f>
      </x:c>
      <x:c r="M103" s="176" t="str">
        <x:f>IF(OR($B103="",$L103=""),"",IFERROR(IF(INDEX(Obras!$H$5:$H$19,MATCH($B103,Obras!$A$5:$A$19,0))="","",IF(INDEX(Obras!$H$5:$H$19,MATCH($B103,Obras!$A$5:$A$19,0))&gt;$L103,"VENCIDA",IF($L103-INDEX(Obras!$H$5:$H$19,MATCH($B103,Obras!$A$5:$A$19,0))&lt;=0.5,"VENCE EM ATÉ 6 MESES","VIGENTE"))),""))</x:f>
      </x:c>
      <x:c r="N103" s="268"/>
    </x:row>
    <x:row r="104" ht="30" customHeight="1">
      <x:c r="A104" s="176" t="str">
        <x:f>IF(OR($B104="",$C104=""),"","LC-"&amp;TEXT(100,"0000"))</x:f>
      </x:c>
      <x:c r="B104" s="259"/>
      <x:c r="C104" s="259"/>
      <x:c r="D104" s="271" t="str">
        <x:f>IF($B104="","",IFERROR(IF(INDEX(Obras!$G$5:$G$19,MATCH($B104,Obras!$A$5:$A$19,0))="","",INDEX(Obras!$G$5:$G$19,MATCH($B104,Obras!$A$5:$A$19,0))),""))</x:f>
      </x:c>
      <x:c r="E104" s="259"/>
      <x:c r="F104" s="268"/>
      <x:c r="G104" s="259"/>
      <x:c r="H104" s="259"/>
      <x:c r="I104" s="259"/>
      <x:c r="J104" s="181" t="str">
        <x:f t="shared" si="2"/>
      </x:c>
      <x:c r="K104" s="176" t="str">
        <x:f t="shared" si="3"/>
      </x:c>
      <x:c r="L104" s="181" t="str">
        <x:f>IF($C104="","",IFERROR(IF(INDEX(Catalogo!$H$5:$H$86,MATCH($C104,Catalogo!$A$5:$A$86,0))="","",INDEX(Catalogo!$H$5:$H$86,MATCH($C104,Catalogo!$A$5:$A$86,0))),""))</x:f>
      </x:c>
      <x:c r="M104" s="176" t="str">
        <x:f>IF(OR($B104="",$L104=""),"",IFERROR(IF(INDEX(Obras!$H$5:$H$19,MATCH($B104,Obras!$A$5:$A$19,0))="","",IF(INDEX(Obras!$H$5:$H$19,MATCH($B104,Obras!$A$5:$A$19,0))&gt;$L104,"VENCIDA",IF($L104-INDEX(Obras!$H$5:$H$19,MATCH($B104,Obras!$A$5:$A$19,0))&lt;=0.5,"VENCE EM ATÉ 6 MESES","VIGENTE"))),""))</x:f>
      </x:c>
      <x:c r="N104" s="268"/>
    </x:row>
    <x:row r="105" ht="30" customHeight="1">
      <x:c r="A105" s="176" t="str">
        <x:f>IF(OR($B105="",$C105=""),"","LC-"&amp;TEXT(101,"0000"))</x:f>
      </x:c>
      <x:c r="B105" s="259"/>
      <x:c r="C105" s="259"/>
      <x:c r="D105" s="271" t="str">
        <x:f>IF($B105="","",IFERROR(IF(INDEX(Obras!$G$5:$G$19,MATCH($B105,Obras!$A$5:$A$19,0))="","",INDEX(Obras!$G$5:$G$19,MATCH($B105,Obras!$A$5:$A$19,0))),""))</x:f>
      </x:c>
      <x:c r="E105" s="259"/>
      <x:c r="F105" s="268"/>
      <x:c r="G105" s="259"/>
      <x:c r="H105" s="259"/>
      <x:c r="I105" s="259"/>
      <x:c r="J105" s="181" t="str">
        <x:f t="shared" si="2"/>
      </x:c>
      <x:c r="K105" s="176" t="str">
        <x:f t="shared" si="3"/>
      </x:c>
      <x:c r="L105" s="181" t="str">
        <x:f>IF($C105="","",IFERROR(IF(INDEX(Catalogo!$H$5:$H$86,MATCH($C105,Catalogo!$A$5:$A$86,0))="","",INDEX(Catalogo!$H$5:$H$86,MATCH($C105,Catalogo!$A$5:$A$86,0))),""))</x:f>
      </x:c>
      <x:c r="M105" s="176" t="str">
        <x:f>IF(OR($B105="",$L105=""),"",IFERROR(IF(INDEX(Obras!$H$5:$H$19,MATCH($B105,Obras!$A$5:$A$19,0))="","",IF(INDEX(Obras!$H$5:$H$19,MATCH($B105,Obras!$A$5:$A$19,0))&gt;$L105,"VENCIDA",IF($L105-INDEX(Obras!$H$5:$H$19,MATCH($B105,Obras!$A$5:$A$19,0))&lt;=0.5,"VENCE EM ATÉ 6 MESES","VIGENTE"))),""))</x:f>
      </x:c>
      <x:c r="N105" s="268"/>
    </x:row>
    <x:row r="106" ht="30" customHeight="1">
      <x:c r="A106" s="176" t="str">
        <x:f>IF(OR($B106="",$C106=""),"","LC-"&amp;TEXT(102,"0000"))</x:f>
      </x:c>
      <x:c r="B106" s="259"/>
      <x:c r="C106" s="259"/>
      <x:c r="D106" s="271" t="str">
        <x:f>IF($B106="","",IFERROR(IF(INDEX(Obras!$G$5:$G$19,MATCH($B106,Obras!$A$5:$A$19,0))="","",INDEX(Obras!$G$5:$G$19,MATCH($B106,Obras!$A$5:$A$19,0))),""))</x:f>
      </x:c>
      <x:c r="E106" s="259"/>
      <x:c r="F106" s="268"/>
      <x:c r="G106" s="259"/>
      <x:c r="H106" s="259"/>
      <x:c r="I106" s="259"/>
      <x:c r="J106" s="181" t="str">
        <x:f t="shared" si="2"/>
      </x:c>
      <x:c r="K106" s="176" t="str">
        <x:f t="shared" si="3"/>
      </x:c>
      <x:c r="L106" s="181" t="str">
        <x:f>IF($C106="","",IFERROR(IF(INDEX(Catalogo!$H$5:$H$86,MATCH($C106,Catalogo!$A$5:$A$86,0))="","",INDEX(Catalogo!$H$5:$H$86,MATCH($C106,Catalogo!$A$5:$A$86,0))),""))</x:f>
      </x:c>
      <x:c r="M106" s="176" t="str">
        <x:f>IF(OR($B106="",$L106=""),"",IFERROR(IF(INDEX(Obras!$H$5:$H$19,MATCH($B106,Obras!$A$5:$A$19,0))="","",IF(INDEX(Obras!$H$5:$H$19,MATCH($B106,Obras!$A$5:$A$19,0))&gt;$L106,"VENCIDA",IF($L106-INDEX(Obras!$H$5:$H$19,MATCH($B106,Obras!$A$5:$A$19,0))&lt;=0.5,"VENCE EM ATÉ 6 MESES","VIGENTE"))),""))</x:f>
      </x:c>
      <x:c r="N106" s="268"/>
    </x:row>
    <x:row r="107" ht="30" customHeight="1">
      <x:c r="A107" s="176" t="str">
        <x:f>IF(OR($B107="",$C107=""),"","LC-"&amp;TEXT(103,"0000"))</x:f>
      </x:c>
      <x:c r="B107" s="259"/>
      <x:c r="C107" s="259"/>
      <x:c r="D107" s="271" t="str">
        <x:f>IF($B107="","",IFERROR(IF(INDEX(Obras!$G$5:$G$19,MATCH($B107,Obras!$A$5:$A$19,0))="","",INDEX(Obras!$G$5:$G$19,MATCH($B107,Obras!$A$5:$A$19,0))),""))</x:f>
      </x:c>
      <x:c r="E107" s="259"/>
      <x:c r="F107" s="268"/>
      <x:c r="G107" s="259"/>
      <x:c r="H107" s="259"/>
      <x:c r="I107" s="259"/>
      <x:c r="J107" s="181" t="str">
        <x:f t="shared" si="2"/>
      </x:c>
      <x:c r="K107" s="176" t="str">
        <x:f t="shared" si="3"/>
      </x:c>
      <x:c r="L107" s="181" t="str">
        <x:f>IF($C107="","",IFERROR(IF(INDEX(Catalogo!$H$5:$H$86,MATCH($C107,Catalogo!$A$5:$A$86,0))="","",INDEX(Catalogo!$H$5:$H$86,MATCH($C107,Catalogo!$A$5:$A$86,0))),""))</x:f>
      </x:c>
      <x:c r="M107" s="176" t="str">
        <x:f>IF(OR($B107="",$L107=""),"",IFERROR(IF(INDEX(Obras!$H$5:$H$19,MATCH($B107,Obras!$A$5:$A$19,0))="","",IF(INDEX(Obras!$H$5:$H$19,MATCH($B107,Obras!$A$5:$A$19,0))&gt;$L107,"VENCIDA",IF($L107-INDEX(Obras!$H$5:$H$19,MATCH($B107,Obras!$A$5:$A$19,0))&lt;=0.5,"VENCE EM ATÉ 6 MESES","VIGENTE"))),""))</x:f>
      </x:c>
      <x:c r="N107" s="268"/>
    </x:row>
    <x:row r="108" ht="30" customHeight="1">
      <x:c r="A108" s="176" t="str">
        <x:f>IF(OR($B108="",$C108=""),"","LC-"&amp;TEXT(104,"0000"))</x:f>
      </x:c>
      <x:c r="B108" s="259"/>
      <x:c r="C108" s="259"/>
      <x:c r="D108" s="271" t="str">
        <x:f>IF($B108="","",IFERROR(IF(INDEX(Obras!$G$5:$G$19,MATCH($B108,Obras!$A$5:$A$19,0))="","",INDEX(Obras!$G$5:$G$19,MATCH($B108,Obras!$A$5:$A$19,0))),""))</x:f>
      </x:c>
      <x:c r="E108" s="259"/>
      <x:c r="F108" s="268"/>
      <x:c r="G108" s="259"/>
      <x:c r="H108" s="259"/>
      <x:c r="I108" s="259"/>
      <x:c r="J108" s="181" t="str">
        <x:f t="shared" si="2"/>
      </x:c>
      <x:c r="K108" s="176" t="str">
        <x:f t="shared" si="3"/>
      </x:c>
      <x:c r="L108" s="181" t="str">
        <x:f>IF($C108="","",IFERROR(IF(INDEX(Catalogo!$H$5:$H$86,MATCH($C108,Catalogo!$A$5:$A$86,0))="","",INDEX(Catalogo!$H$5:$H$86,MATCH($C108,Catalogo!$A$5:$A$86,0))),""))</x:f>
      </x:c>
      <x:c r="M108" s="176" t="str">
        <x:f>IF(OR($B108="",$L108=""),"",IFERROR(IF(INDEX(Obras!$H$5:$H$19,MATCH($B108,Obras!$A$5:$A$19,0))="","",IF(INDEX(Obras!$H$5:$H$19,MATCH($B108,Obras!$A$5:$A$19,0))&gt;$L108,"VENCIDA",IF($L108-INDEX(Obras!$H$5:$H$19,MATCH($B108,Obras!$A$5:$A$19,0))&lt;=0.5,"VENCE EM ATÉ 6 MESES","VIGENTE"))),""))</x:f>
      </x:c>
      <x:c r="N108" s="268"/>
    </x:row>
    <x:row r="109" ht="30" customHeight="1">
      <x:c r="A109" s="176" t="str">
        <x:f>IF(OR($B109="",$C109=""),"","LC-"&amp;TEXT(105,"0000"))</x:f>
      </x:c>
      <x:c r="B109" s="259"/>
      <x:c r="C109" s="259"/>
      <x:c r="D109" s="271" t="str">
        <x:f>IF($B109="","",IFERROR(IF(INDEX(Obras!$G$5:$G$19,MATCH($B109,Obras!$A$5:$A$19,0))="","",INDEX(Obras!$G$5:$G$19,MATCH($B109,Obras!$A$5:$A$19,0))),""))</x:f>
      </x:c>
      <x:c r="E109" s="259"/>
      <x:c r="F109" s="268"/>
      <x:c r="G109" s="259"/>
      <x:c r="H109" s="259"/>
      <x:c r="I109" s="259"/>
      <x:c r="J109" s="181" t="str">
        <x:f t="shared" si="2"/>
      </x:c>
      <x:c r="K109" s="176" t="str">
        <x:f t="shared" si="3"/>
      </x:c>
      <x:c r="L109" s="181" t="str">
        <x:f>IF($C109="","",IFERROR(IF(INDEX(Catalogo!$H$5:$H$86,MATCH($C109,Catalogo!$A$5:$A$86,0))="","",INDEX(Catalogo!$H$5:$H$86,MATCH($C109,Catalogo!$A$5:$A$86,0))),""))</x:f>
      </x:c>
      <x:c r="M109" s="176" t="str">
        <x:f>IF(OR($B109="",$L109=""),"",IFERROR(IF(INDEX(Obras!$H$5:$H$19,MATCH($B109,Obras!$A$5:$A$19,0))="","",IF(INDEX(Obras!$H$5:$H$19,MATCH($B109,Obras!$A$5:$A$19,0))&gt;$L109,"VENCIDA",IF($L109-INDEX(Obras!$H$5:$H$19,MATCH($B109,Obras!$A$5:$A$19,0))&lt;=0.5,"VENCE EM ATÉ 6 MESES","VIGENTE"))),""))</x:f>
      </x:c>
      <x:c r="N109" s="268"/>
    </x:row>
    <x:row r="110" ht="30" customHeight="1">
      <x:c r="A110" s="176" t="str">
        <x:f>IF(OR($B110="",$C110=""),"","LC-"&amp;TEXT(106,"0000"))</x:f>
      </x:c>
      <x:c r="B110" s="259"/>
      <x:c r="C110" s="259"/>
      <x:c r="D110" s="271" t="str">
        <x:f>IF($B110="","",IFERROR(IF(INDEX(Obras!$G$5:$G$19,MATCH($B110,Obras!$A$5:$A$19,0))="","",INDEX(Obras!$G$5:$G$19,MATCH($B110,Obras!$A$5:$A$19,0))),""))</x:f>
      </x:c>
      <x:c r="E110" s="259"/>
      <x:c r="F110" s="268"/>
      <x:c r="G110" s="259"/>
      <x:c r="H110" s="259"/>
      <x:c r="I110" s="259"/>
      <x:c r="J110" s="181" t="str">
        <x:f t="shared" si="2"/>
      </x:c>
      <x:c r="K110" s="176" t="str">
        <x:f t="shared" si="3"/>
      </x:c>
      <x:c r="L110" s="181" t="str">
        <x:f>IF($C110="","",IFERROR(IF(INDEX(Catalogo!$H$5:$H$86,MATCH($C110,Catalogo!$A$5:$A$86,0))="","",INDEX(Catalogo!$H$5:$H$86,MATCH($C110,Catalogo!$A$5:$A$86,0))),""))</x:f>
      </x:c>
      <x:c r="M110" s="176" t="str">
        <x:f>IF(OR($B110="",$L110=""),"",IFERROR(IF(INDEX(Obras!$H$5:$H$19,MATCH($B110,Obras!$A$5:$A$19,0))="","",IF(INDEX(Obras!$H$5:$H$19,MATCH($B110,Obras!$A$5:$A$19,0))&gt;$L110,"VENCIDA",IF($L110-INDEX(Obras!$H$5:$H$19,MATCH($B110,Obras!$A$5:$A$19,0))&lt;=0.5,"VENCE EM ATÉ 6 MESES","VIGENTE"))),""))</x:f>
      </x:c>
      <x:c r="N110" s="268"/>
    </x:row>
    <x:row r="111" ht="30" customHeight="1">
      <x:c r="A111" s="176" t="str">
        <x:f>IF(OR($B111="",$C111=""),"","LC-"&amp;TEXT(107,"0000"))</x:f>
      </x:c>
      <x:c r="B111" s="259"/>
      <x:c r="C111" s="259"/>
      <x:c r="D111" s="271" t="str">
        <x:f>IF($B111="","",IFERROR(IF(INDEX(Obras!$G$5:$G$19,MATCH($B111,Obras!$A$5:$A$19,0))="","",INDEX(Obras!$G$5:$G$19,MATCH($B111,Obras!$A$5:$A$19,0))),""))</x:f>
      </x:c>
      <x:c r="E111" s="259"/>
      <x:c r="F111" s="268"/>
      <x:c r="G111" s="259"/>
      <x:c r="H111" s="259"/>
      <x:c r="I111" s="259"/>
      <x:c r="J111" s="181" t="str">
        <x:f t="shared" si="2"/>
      </x:c>
      <x:c r="K111" s="176" t="str">
        <x:f t="shared" si="3"/>
      </x:c>
      <x:c r="L111" s="181" t="str">
        <x:f>IF($C111="","",IFERROR(IF(INDEX(Catalogo!$H$5:$H$86,MATCH($C111,Catalogo!$A$5:$A$86,0))="","",INDEX(Catalogo!$H$5:$H$86,MATCH($C111,Catalogo!$A$5:$A$86,0))),""))</x:f>
      </x:c>
      <x:c r="M111" s="176" t="str">
        <x:f>IF(OR($B111="",$L111=""),"",IFERROR(IF(INDEX(Obras!$H$5:$H$19,MATCH($B111,Obras!$A$5:$A$19,0))="","",IF(INDEX(Obras!$H$5:$H$19,MATCH($B111,Obras!$A$5:$A$19,0))&gt;$L111,"VENCIDA",IF($L111-INDEX(Obras!$H$5:$H$19,MATCH($B111,Obras!$A$5:$A$19,0))&lt;=0.5,"VENCE EM ATÉ 6 MESES","VIGENTE"))),""))</x:f>
      </x:c>
      <x:c r="N111" s="268"/>
    </x:row>
    <x:row r="112" ht="30" customHeight="1">
      <x:c r="A112" s="176" t="str">
        <x:f>IF(OR($B112="",$C112=""),"","LC-"&amp;TEXT(108,"0000"))</x:f>
      </x:c>
      <x:c r="B112" s="259"/>
      <x:c r="C112" s="259"/>
      <x:c r="D112" s="271" t="str">
        <x:f>IF($B112="","",IFERROR(IF(INDEX(Obras!$G$5:$G$19,MATCH($B112,Obras!$A$5:$A$19,0))="","",INDEX(Obras!$G$5:$G$19,MATCH($B112,Obras!$A$5:$A$19,0))),""))</x:f>
      </x:c>
      <x:c r="E112" s="259"/>
      <x:c r="F112" s="268"/>
      <x:c r="G112" s="259"/>
      <x:c r="H112" s="259"/>
      <x:c r="I112" s="259"/>
      <x:c r="J112" s="181" t="str">
        <x:f t="shared" si="2"/>
      </x:c>
      <x:c r="K112" s="176" t="str">
        <x:f t="shared" si="3"/>
      </x:c>
      <x:c r="L112" s="181" t="str">
        <x:f>IF($C112="","",IFERROR(IF(INDEX(Catalogo!$H$5:$H$86,MATCH($C112,Catalogo!$A$5:$A$86,0))="","",INDEX(Catalogo!$H$5:$H$86,MATCH($C112,Catalogo!$A$5:$A$86,0))),""))</x:f>
      </x:c>
      <x:c r="M112" s="176" t="str">
        <x:f>IF(OR($B112="",$L112=""),"",IFERROR(IF(INDEX(Obras!$H$5:$H$19,MATCH($B112,Obras!$A$5:$A$19,0))="","",IF(INDEX(Obras!$H$5:$H$19,MATCH($B112,Obras!$A$5:$A$19,0))&gt;$L112,"VENCIDA",IF($L112-INDEX(Obras!$H$5:$H$19,MATCH($B112,Obras!$A$5:$A$19,0))&lt;=0.5,"VENCE EM ATÉ 6 MESES","VIGENTE"))),""))</x:f>
      </x:c>
      <x:c r="N112" s="268"/>
    </x:row>
    <x:row r="113" ht="30" customHeight="1">
      <x:c r="A113" s="176" t="str">
        <x:f>IF(OR($B113="",$C113=""),"","LC-"&amp;TEXT(109,"0000"))</x:f>
      </x:c>
      <x:c r="B113" s="259"/>
      <x:c r="C113" s="259"/>
      <x:c r="D113" s="271" t="str">
        <x:f>IF($B113="","",IFERROR(IF(INDEX(Obras!$G$5:$G$19,MATCH($B113,Obras!$A$5:$A$19,0))="","",INDEX(Obras!$G$5:$G$19,MATCH($B113,Obras!$A$5:$A$19,0))),""))</x:f>
      </x:c>
      <x:c r="E113" s="259"/>
      <x:c r="F113" s="268"/>
      <x:c r="G113" s="259"/>
      <x:c r="H113" s="259"/>
      <x:c r="I113" s="259"/>
      <x:c r="J113" s="181" t="str">
        <x:f t="shared" si="2"/>
      </x:c>
      <x:c r="K113" s="176" t="str">
        <x:f t="shared" si="3"/>
      </x:c>
      <x:c r="L113" s="181" t="str">
        <x:f>IF($C113="","",IFERROR(IF(INDEX(Catalogo!$H$5:$H$86,MATCH($C113,Catalogo!$A$5:$A$86,0))="","",INDEX(Catalogo!$H$5:$H$86,MATCH($C113,Catalogo!$A$5:$A$86,0))),""))</x:f>
      </x:c>
      <x:c r="M113" s="176" t="str">
        <x:f>IF(OR($B113="",$L113=""),"",IFERROR(IF(INDEX(Obras!$H$5:$H$19,MATCH($B113,Obras!$A$5:$A$19,0))="","",IF(INDEX(Obras!$H$5:$H$19,MATCH($B113,Obras!$A$5:$A$19,0))&gt;$L113,"VENCIDA",IF($L113-INDEX(Obras!$H$5:$H$19,MATCH($B113,Obras!$A$5:$A$19,0))&lt;=0.5,"VENCE EM ATÉ 6 MESES","VIGENTE"))),""))</x:f>
      </x:c>
      <x:c r="N113" s="268"/>
    </x:row>
    <x:row r="114" ht="30" customHeight="1">
      <x:c r="A114" s="176" t="str">
        <x:f>IF(OR($B114="",$C114=""),"","LC-"&amp;TEXT(110,"0000"))</x:f>
      </x:c>
      <x:c r="B114" s="259"/>
      <x:c r="C114" s="259"/>
      <x:c r="D114" s="271" t="str">
        <x:f>IF($B114="","",IFERROR(IF(INDEX(Obras!$G$5:$G$19,MATCH($B114,Obras!$A$5:$A$19,0))="","",INDEX(Obras!$G$5:$G$19,MATCH($B114,Obras!$A$5:$A$19,0))),""))</x:f>
      </x:c>
      <x:c r="E114" s="259"/>
      <x:c r="F114" s="268"/>
      <x:c r="G114" s="259"/>
      <x:c r="H114" s="259"/>
      <x:c r="I114" s="259"/>
      <x:c r="J114" s="181" t="str">
        <x:f t="shared" si="2"/>
      </x:c>
      <x:c r="K114" s="176" t="str">
        <x:f t="shared" si="3"/>
      </x:c>
      <x:c r="L114" s="181" t="str">
        <x:f>IF($C114="","",IFERROR(IF(INDEX(Catalogo!$H$5:$H$86,MATCH($C114,Catalogo!$A$5:$A$86,0))="","",INDEX(Catalogo!$H$5:$H$86,MATCH($C114,Catalogo!$A$5:$A$86,0))),""))</x:f>
      </x:c>
      <x:c r="M114" s="176" t="str">
        <x:f>IF(OR($B114="",$L114=""),"",IFERROR(IF(INDEX(Obras!$H$5:$H$19,MATCH($B114,Obras!$A$5:$A$19,0))="","",IF(INDEX(Obras!$H$5:$H$19,MATCH($B114,Obras!$A$5:$A$19,0))&gt;$L114,"VENCIDA",IF($L114-INDEX(Obras!$H$5:$H$19,MATCH($B114,Obras!$A$5:$A$19,0))&lt;=0.5,"VENCE EM ATÉ 6 MESES","VIGENTE"))),""))</x:f>
      </x:c>
      <x:c r="N114" s="268"/>
    </x:row>
    <x:row r="115" ht="30" customHeight="1">
      <x:c r="A115" s="176" t="str">
        <x:f>IF(OR($B115="",$C115=""),"","LC-"&amp;TEXT(111,"0000"))</x:f>
      </x:c>
      <x:c r="B115" s="259"/>
      <x:c r="C115" s="259"/>
      <x:c r="D115" s="271" t="str">
        <x:f>IF($B115="","",IFERROR(IF(INDEX(Obras!$G$5:$G$19,MATCH($B115,Obras!$A$5:$A$19,0))="","",INDEX(Obras!$G$5:$G$19,MATCH($B115,Obras!$A$5:$A$19,0))),""))</x:f>
      </x:c>
      <x:c r="E115" s="259"/>
      <x:c r="F115" s="268"/>
      <x:c r="G115" s="259"/>
      <x:c r="H115" s="259"/>
      <x:c r="I115" s="259"/>
      <x:c r="J115" s="181" t="str">
        <x:f t="shared" si="2"/>
      </x:c>
      <x:c r="K115" s="176" t="str">
        <x:f t="shared" si="3"/>
      </x:c>
      <x:c r="L115" s="181" t="str">
        <x:f>IF($C115="","",IFERROR(IF(INDEX(Catalogo!$H$5:$H$86,MATCH($C115,Catalogo!$A$5:$A$86,0))="","",INDEX(Catalogo!$H$5:$H$86,MATCH($C115,Catalogo!$A$5:$A$86,0))),""))</x:f>
      </x:c>
      <x:c r="M115" s="176" t="str">
        <x:f>IF(OR($B115="",$L115=""),"",IFERROR(IF(INDEX(Obras!$H$5:$H$19,MATCH($B115,Obras!$A$5:$A$19,0))="","",IF(INDEX(Obras!$H$5:$H$19,MATCH($B115,Obras!$A$5:$A$19,0))&gt;$L115,"VENCIDA",IF($L115-INDEX(Obras!$H$5:$H$19,MATCH($B115,Obras!$A$5:$A$19,0))&lt;=0.5,"VENCE EM ATÉ 6 MESES","VIGENTE"))),""))</x:f>
      </x:c>
      <x:c r="N115" s="268"/>
    </x:row>
    <x:row r="116" ht="30" customHeight="1">
      <x:c r="A116" s="176" t="str">
        <x:f>IF(OR($B116="",$C116=""),"","LC-"&amp;TEXT(112,"0000"))</x:f>
      </x:c>
      <x:c r="B116" s="259"/>
      <x:c r="C116" s="259"/>
      <x:c r="D116" s="271" t="str">
        <x:f>IF($B116="","",IFERROR(IF(INDEX(Obras!$G$5:$G$19,MATCH($B116,Obras!$A$5:$A$19,0))="","",INDEX(Obras!$G$5:$G$19,MATCH($B116,Obras!$A$5:$A$19,0))),""))</x:f>
      </x:c>
      <x:c r="E116" s="259"/>
      <x:c r="F116" s="268"/>
      <x:c r="G116" s="259"/>
      <x:c r="H116" s="259"/>
      <x:c r="I116" s="259"/>
      <x:c r="J116" s="181" t="str">
        <x:f t="shared" si="2"/>
      </x:c>
      <x:c r="K116" s="176" t="str">
        <x:f t="shared" si="3"/>
      </x:c>
      <x:c r="L116" s="181" t="str">
        <x:f>IF($C116="","",IFERROR(IF(INDEX(Catalogo!$H$5:$H$86,MATCH($C116,Catalogo!$A$5:$A$86,0))="","",INDEX(Catalogo!$H$5:$H$86,MATCH($C116,Catalogo!$A$5:$A$86,0))),""))</x:f>
      </x:c>
      <x:c r="M116" s="176" t="str">
        <x:f>IF(OR($B116="",$L116=""),"",IFERROR(IF(INDEX(Obras!$H$5:$H$19,MATCH($B116,Obras!$A$5:$A$19,0))="","",IF(INDEX(Obras!$H$5:$H$19,MATCH($B116,Obras!$A$5:$A$19,0))&gt;$L116,"VENCIDA",IF($L116-INDEX(Obras!$H$5:$H$19,MATCH($B116,Obras!$A$5:$A$19,0))&lt;=0.5,"VENCE EM ATÉ 6 MESES","VIGENTE"))),""))</x:f>
      </x:c>
      <x:c r="N116" s="268"/>
    </x:row>
    <x:row r="117" ht="30" customHeight="1">
      <x:c r="A117" s="176" t="str">
        <x:f>IF(OR($B117="",$C117=""),"","LC-"&amp;TEXT(113,"0000"))</x:f>
      </x:c>
      <x:c r="B117" s="259"/>
      <x:c r="C117" s="259"/>
      <x:c r="D117" s="271" t="str">
        <x:f>IF($B117="","",IFERROR(IF(INDEX(Obras!$G$5:$G$19,MATCH($B117,Obras!$A$5:$A$19,0))="","",INDEX(Obras!$G$5:$G$19,MATCH($B117,Obras!$A$5:$A$19,0))),""))</x:f>
      </x:c>
      <x:c r="E117" s="259"/>
      <x:c r="F117" s="268"/>
      <x:c r="G117" s="259"/>
      <x:c r="H117" s="259"/>
      <x:c r="I117" s="259"/>
      <x:c r="J117" s="181" t="str">
        <x:f t="shared" si="2"/>
      </x:c>
      <x:c r="K117" s="176" t="str">
        <x:f t="shared" si="3"/>
      </x:c>
      <x:c r="L117" s="181" t="str">
        <x:f>IF($C117="","",IFERROR(IF(INDEX(Catalogo!$H$5:$H$86,MATCH($C117,Catalogo!$A$5:$A$86,0))="","",INDEX(Catalogo!$H$5:$H$86,MATCH($C117,Catalogo!$A$5:$A$86,0))),""))</x:f>
      </x:c>
      <x:c r="M117" s="176" t="str">
        <x:f>IF(OR($B117="",$L117=""),"",IFERROR(IF(INDEX(Obras!$H$5:$H$19,MATCH($B117,Obras!$A$5:$A$19,0))="","",IF(INDEX(Obras!$H$5:$H$19,MATCH($B117,Obras!$A$5:$A$19,0))&gt;$L117,"VENCIDA",IF($L117-INDEX(Obras!$H$5:$H$19,MATCH($B117,Obras!$A$5:$A$19,0))&lt;=0.5,"VENCE EM ATÉ 6 MESES","VIGENTE"))),""))</x:f>
      </x:c>
      <x:c r="N117" s="268"/>
    </x:row>
    <x:row r="118" ht="30" customHeight="1">
      <x:c r="A118" s="176" t="str">
        <x:f>IF(OR($B118="",$C118=""),"","LC-"&amp;TEXT(114,"0000"))</x:f>
      </x:c>
      <x:c r="B118" s="259"/>
      <x:c r="C118" s="259"/>
      <x:c r="D118" s="271" t="str">
        <x:f>IF($B118="","",IFERROR(IF(INDEX(Obras!$G$5:$G$19,MATCH($B118,Obras!$A$5:$A$19,0))="","",INDEX(Obras!$G$5:$G$19,MATCH($B118,Obras!$A$5:$A$19,0))),""))</x:f>
      </x:c>
      <x:c r="E118" s="259"/>
      <x:c r="F118" s="268"/>
      <x:c r="G118" s="259"/>
      <x:c r="H118" s="259"/>
      <x:c r="I118" s="259"/>
      <x:c r="J118" s="181" t="str">
        <x:f t="shared" si="2"/>
      </x:c>
      <x:c r="K118" s="176" t="str">
        <x:f t="shared" si="3"/>
      </x:c>
      <x:c r="L118" s="181" t="str">
        <x:f>IF($C118="","",IFERROR(IF(INDEX(Catalogo!$H$5:$H$86,MATCH($C118,Catalogo!$A$5:$A$86,0))="","",INDEX(Catalogo!$H$5:$H$86,MATCH($C118,Catalogo!$A$5:$A$86,0))),""))</x:f>
      </x:c>
      <x:c r="M118" s="176" t="str">
        <x:f>IF(OR($B118="",$L118=""),"",IFERROR(IF(INDEX(Obras!$H$5:$H$19,MATCH($B118,Obras!$A$5:$A$19,0))="","",IF(INDEX(Obras!$H$5:$H$19,MATCH($B118,Obras!$A$5:$A$19,0))&gt;$L118,"VENCIDA",IF($L118-INDEX(Obras!$H$5:$H$19,MATCH($B118,Obras!$A$5:$A$19,0))&lt;=0.5,"VENCE EM ATÉ 6 MESES","VIGENTE"))),""))</x:f>
      </x:c>
      <x:c r="N118" s="268"/>
    </x:row>
    <x:row r="119" ht="30" customHeight="1">
      <x:c r="A119" s="176" t="str">
        <x:f>IF(OR($B119="",$C119=""),"","LC-"&amp;TEXT(115,"0000"))</x:f>
      </x:c>
      <x:c r="B119" s="259"/>
      <x:c r="C119" s="259"/>
      <x:c r="D119" s="271" t="str">
        <x:f>IF($B119="","",IFERROR(IF(INDEX(Obras!$G$5:$G$19,MATCH($B119,Obras!$A$5:$A$19,0))="","",INDEX(Obras!$G$5:$G$19,MATCH($B119,Obras!$A$5:$A$19,0))),""))</x:f>
      </x:c>
      <x:c r="E119" s="259"/>
      <x:c r="F119" s="268"/>
      <x:c r="G119" s="259"/>
      <x:c r="H119" s="259"/>
      <x:c r="I119" s="259"/>
      <x:c r="J119" s="181" t="str">
        <x:f t="shared" si="2"/>
      </x:c>
      <x:c r="K119" s="176" t="str">
        <x:f t="shared" si="3"/>
      </x:c>
      <x:c r="L119" s="181" t="str">
        <x:f>IF($C119="","",IFERROR(IF(INDEX(Catalogo!$H$5:$H$86,MATCH($C119,Catalogo!$A$5:$A$86,0))="","",INDEX(Catalogo!$H$5:$H$86,MATCH($C119,Catalogo!$A$5:$A$86,0))),""))</x:f>
      </x:c>
      <x:c r="M119" s="176" t="str">
        <x:f>IF(OR($B119="",$L119=""),"",IFERROR(IF(INDEX(Obras!$H$5:$H$19,MATCH($B119,Obras!$A$5:$A$19,0))="","",IF(INDEX(Obras!$H$5:$H$19,MATCH($B119,Obras!$A$5:$A$19,0))&gt;$L119,"VENCIDA",IF($L119-INDEX(Obras!$H$5:$H$19,MATCH($B119,Obras!$A$5:$A$19,0))&lt;=0.5,"VENCE EM ATÉ 6 MESES","VIGENTE"))),""))</x:f>
      </x:c>
      <x:c r="N119" s="268"/>
    </x:row>
    <x:row r="120" ht="30" customHeight="1">
      <x:c r="A120" s="176" t="str">
        <x:f>IF(OR($B120="",$C120=""),"","LC-"&amp;TEXT(116,"0000"))</x:f>
      </x:c>
      <x:c r="B120" s="259"/>
      <x:c r="C120" s="259"/>
      <x:c r="D120" s="271" t="str">
        <x:f>IF($B120="","",IFERROR(IF(INDEX(Obras!$G$5:$G$19,MATCH($B120,Obras!$A$5:$A$19,0))="","",INDEX(Obras!$G$5:$G$19,MATCH($B120,Obras!$A$5:$A$19,0))),""))</x:f>
      </x:c>
      <x:c r="E120" s="259"/>
      <x:c r="F120" s="268"/>
      <x:c r="G120" s="259"/>
      <x:c r="H120" s="259"/>
      <x:c r="I120" s="259"/>
      <x:c r="J120" s="181" t="str">
        <x:f t="shared" si="2"/>
      </x:c>
      <x:c r="K120" s="176" t="str">
        <x:f t="shared" si="3"/>
      </x:c>
      <x:c r="L120" s="181" t="str">
        <x:f>IF($C120="","",IFERROR(IF(INDEX(Catalogo!$H$5:$H$86,MATCH($C120,Catalogo!$A$5:$A$86,0))="","",INDEX(Catalogo!$H$5:$H$86,MATCH($C120,Catalogo!$A$5:$A$86,0))),""))</x:f>
      </x:c>
      <x:c r="M120" s="176" t="str">
        <x:f>IF(OR($B120="",$L120=""),"",IFERROR(IF(INDEX(Obras!$H$5:$H$19,MATCH($B120,Obras!$A$5:$A$19,0))="","",IF(INDEX(Obras!$H$5:$H$19,MATCH($B120,Obras!$A$5:$A$19,0))&gt;$L120,"VENCIDA",IF($L120-INDEX(Obras!$H$5:$H$19,MATCH($B120,Obras!$A$5:$A$19,0))&lt;=0.5,"VENCE EM ATÉ 6 MESES","VIGENTE"))),""))</x:f>
      </x:c>
      <x:c r="N120" s="268"/>
    </x:row>
    <x:row r="121" ht="30" customHeight="1">
      <x:c r="A121" s="176" t="str">
        <x:f>IF(OR($B121="",$C121=""),"","LC-"&amp;TEXT(117,"0000"))</x:f>
      </x:c>
      <x:c r="B121" s="259"/>
      <x:c r="C121" s="259"/>
      <x:c r="D121" s="271" t="str">
        <x:f>IF($B121="","",IFERROR(IF(INDEX(Obras!$G$5:$G$19,MATCH($B121,Obras!$A$5:$A$19,0))="","",INDEX(Obras!$G$5:$G$19,MATCH($B121,Obras!$A$5:$A$19,0))),""))</x:f>
      </x:c>
      <x:c r="E121" s="259"/>
      <x:c r="F121" s="268"/>
      <x:c r="G121" s="259"/>
      <x:c r="H121" s="259"/>
      <x:c r="I121" s="259"/>
      <x:c r="J121" s="181" t="str">
        <x:f t="shared" si="2"/>
      </x:c>
      <x:c r="K121" s="176" t="str">
        <x:f t="shared" si="3"/>
      </x:c>
      <x:c r="L121" s="181" t="str">
        <x:f>IF($C121="","",IFERROR(IF(INDEX(Catalogo!$H$5:$H$86,MATCH($C121,Catalogo!$A$5:$A$86,0))="","",INDEX(Catalogo!$H$5:$H$86,MATCH($C121,Catalogo!$A$5:$A$86,0))),""))</x:f>
      </x:c>
      <x:c r="M121" s="176" t="str">
        <x:f>IF(OR($B121="",$L121=""),"",IFERROR(IF(INDEX(Obras!$H$5:$H$19,MATCH($B121,Obras!$A$5:$A$19,0))="","",IF(INDEX(Obras!$H$5:$H$19,MATCH($B121,Obras!$A$5:$A$19,0))&gt;$L121,"VENCIDA",IF($L121-INDEX(Obras!$H$5:$H$19,MATCH($B121,Obras!$A$5:$A$19,0))&lt;=0.5,"VENCE EM ATÉ 6 MESES","VIGENTE"))),""))</x:f>
      </x:c>
      <x:c r="N121" s="268"/>
    </x:row>
    <x:row r="122" ht="30" customHeight="1">
      <x:c r="A122" s="176" t="str">
        <x:f>IF(OR($B122="",$C122=""),"","LC-"&amp;TEXT(118,"0000"))</x:f>
      </x:c>
      <x:c r="B122" s="259"/>
      <x:c r="C122" s="259"/>
      <x:c r="D122" s="271" t="str">
        <x:f>IF($B122="","",IFERROR(IF(INDEX(Obras!$G$5:$G$19,MATCH($B122,Obras!$A$5:$A$19,0))="","",INDEX(Obras!$G$5:$G$19,MATCH($B122,Obras!$A$5:$A$19,0))),""))</x:f>
      </x:c>
      <x:c r="E122" s="259"/>
      <x:c r="F122" s="268"/>
      <x:c r="G122" s="259"/>
      <x:c r="H122" s="259"/>
      <x:c r="I122" s="259"/>
      <x:c r="J122" s="181" t="str">
        <x:f t="shared" si="2"/>
      </x:c>
      <x:c r="K122" s="176" t="str">
        <x:f t="shared" si="3"/>
      </x:c>
      <x:c r="L122" s="181" t="str">
        <x:f>IF($C122="","",IFERROR(IF(INDEX(Catalogo!$H$5:$H$86,MATCH($C122,Catalogo!$A$5:$A$86,0))="","",INDEX(Catalogo!$H$5:$H$86,MATCH($C122,Catalogo!$A$5:$A$86,0))),""))</x:f>
      </x:c>
      <x:c r="M122" s="176" t="str">
        <x:f>IF(OR($B122="",$L122=""),"",IFERROR(IF(INDEX(Obras!$H$5:$H$19,MATCH($B122,Obras!$A$5:$A$19,0))="","",IF(INDEX(Obras!$H$5:$H$19,MATCH($B122,Obras!$A$5:$A$19,0))&gt;$L122,"VENCIDA",IF($L122-INDEX(Obras!$H$5:$H$19,MATCH($B122,Obras!$A$5:$A$19,0))&lt;=0.5,"VENCE EM ATÉ 6 MESES","VIGENTE"))),""))</x:f>
      </x:c>
      <x:c r="N122" s="268"/>
    </x:row>
    <x:row r="123" ht="30" customHeight="1">
      <x:c r="A123" s="176" t="str">
        <x:f>IF(OR($B123="",$C123=""),"","LC-"&amp;TEXT(119,"0000"))</x:f>
      </x:c>
      <x:c r="B123" s="259"/>
      <x:c r="C123" s="259"/>
      <x:c r="D123" s="271" t="str">
        <x:f>IF($B123="","",IFERROR(IF(INDEX(Obras!$G$5:$G$19,MATCH($B123,Obras!$A$5:$A$19,0))="","",INDEX(Obras!$G$5:$G$19,MATCH($B123,Obras!$A$5:$A$19,0))),""))</x:f>
      </x:c>
      <x:c r="E123" s="259"/>
      <x:c r="F123" s="268"/>
      <x:c r="G123" s="259"/>
      <x:c r="H123" s="259"/>
      <x:c r="I123" s="259"/>
      <x:c r="J123" s="181" t="str">
        <x:f t="shared" si="2"/>
      </x:c>
      <x:c r="K123" s="176" t="str">
        <x:f t="shared" si="3"/>
      </x:c>
      <x:c r="L123" s="181" t="str">
        <x:f>IF($C123="","",IFERROR(IF(INDEX(Catalogo!$H$5:$H$86,MATCH($C123,Catalogo!$A$5:$A$86,0))="","",INDEX(Catalogo!$H$5:$H$86,MATCH($C123,Catalogo!$A$5:$A$86,0))),""))</x:f>
      </x:c>
      <x:c r="M123" s="176" t="str">
        <x:f>IF(OR($B123="",$L123=""),"",IFERROR(IF(INDEX(Obras!$H$5:$H$19,MATCH($B123,Obras!$A$5:$A$19,0))="","",IF(INDEX(Obras!$H$5:$H$19,MATCH($B123,Obras!$A$5:$A$19,0))&gt;$L123,"VENCIDA",IF($L123-INDEX(Obras!$H$5:$H$19,MATCH($B123,Obras!$A$5:$A$19,0))&lt;=0.5,"VENCE EM ATÉ 6 MESES","VIGENTE"))),""))</x:f>
      </x:c>
      <x:c r="N123" s="268"/>
    </x:row>
    <x:row r="124" ht="30" customHeight="1">
      <x:c r="A124" s="176" t="str">
        <x:f>IF(OR($B124="",$C124=""),"","LC-"&amp;TEXT(120,"0000"))</x:f>
      </x:c>
      <x:c r="B124" s="259"/>
      <x:c r="C124" s="259"/>
      <x:c r="D124" s="271" t="str">
        <x:f>IF($B124="","",IFERROR(IF(INDEX(Obras!$G$5:$G$19,MATCH($B124,Obras!$A$5:$A$19,0))="","",INDEX(Obras!$G$5:$G$19,MATCH($B124,Obras!$A$5:$A$19,0))),""))</x:f>
      </x:c>
      <x:c r="E124" s="259"/>
      <x:c r="F124" s="268"/>
      <x:c r="G124" s="259"/>
      <x:c r="H124" s="259"/>
      <x:c r="I124" s="259"/>
      <x:c r="J124" s="181" t="str">
        <x:f t="shared" si="2"/>
      </x:c>
      <x:c r="K124" s="176" t="str">
        <x:f t="shared" si="3"/>
      </x:c>
      <x:c r="L124" s="181" t="str">
        <x:f>IF($C124="","",IFERROR(IF(INDEX(Catalogo!$H$5:$H$86,MATCH($C124,Catalogo!$A$5:$A$86,0))="","",INDEX(Catalogo!$H$5:$H$86,MATCH($C124,Catalogo!$A$5:$A$86,0))),""))</x:f>
      </x:c>
      <x:c r="M124" s="176" t="str">
        <x:f>IF(OR($B124="",$L124=""),"",IFERROR(IF(INDEX(Obras!$H$5:$H$19,MATCH($B124,Obras!$A$5:$A$19,0))="","",IF(INDEX(Obras!$H$5:$H$19,MATCH($B124,Obras!$A$5:$A$19,0))&gt;$L124,"VENCIDA",IF($L124-INDEX(Obras!$H$5:$H$19,MATCH($B124,Obras!$A$5:$A$19,0))&lt;=0.5,"VENCE EM ATÉ 6 MESES","VIGENTE"))),""))</x:f>
      </x:c>
      <x:c r="N124" s="268"/>
    </x:row>
    <x:row r="125" ht="30" customHeight="1">
      <x:c r="A125" s="176" t="str">
        <x:f>IF(OR($B125="",$C125=""),"","LC-"&amp;TEXT(121,"0000"))</x:f>
      </x:c>
      <x:c r="B125" s="259"/>
      <x:c r="C125" s="259"/>
      <x:c r="D125" s="271" t="str">
        <x:f>IF($B125="","",IFERROR(IF(INDEX(Obras!$G$5:$G$19,MATCH($B125,Obras!$A$5:$A$19,0))="","",INDEX(Obras!$G$5:$G$19,MATCH($B125,Obras!$A$5:$A$19,0))),""))</x:f>
      </x:c>
      <x:c r="E125" s="259"/>
      <x:c r="F125" s="268"/>
      <x:c r="G125" s="259"/>
      <x:c r="H125" s="259"/>
      <x:c r="I125" s="259"/>
      <x:c r="J125" s="181" t="str">
        <x:f t="shared" si="2"/>
      </x:c>
      <x:c r="K125" s="176" t="str">
        <x:f t="shared" si="3"/>
      </x:c>
      <x:c r="L125" s="181" t="str">
        <x:f>IF($C125="","",IFERROR(IF(INDEX(Catalogo!$H$5:$H$86,MATCH($C125,Catalogo!$A$5:$A$86,0))="","",INDEX(Catalogo!$H$5:$H$86,MATCH($C125,Catalogo!$A$5:$A$86,0))),""))</x:f>
      </x:c>
      <x:c r="M125" s="176" t="str">
        <x:f>IF(OR($B125="",$L125=""),"",IFERROR(IF(INDEX(Obras!$H$5:$H$19,MATCH($B125,Obras!$A$5:$A$19,0))="","",IF(INDEX(Obras!$H$5:$H$19,MATCH($B125,Obras!$A$5:$A$19,0))&gt;$L125,"VENCIDA",IF($L125-INDEX(Obras!$H$5:$H$19,MATCH($B125,Obras!$A$5:$A$19,0))&lt;=0.5,"VENCE EM ATÉ 6 MESES","VIGENTE"))),""))</x:f>
      </x:c>
      <x:c r="N125" s="268"/>
    </x:row>
    <x:row r="126" ht="30" customHeight="1">
      <x:c r="A126" s="176" t="str">
        <x:f>IF(OR($B126="",$C126=""),"","LC-"&amp;TEXT(122,"0000"))</x:f>
      </x:c>
      <x:c r="B126" s="259"/>
      <x:c r="C126" s="259"/>
      <x:c r="D126" s="271" t="str">
        <x:f>IF($B126="","",IFERROR(IF(INDEX(Obras!$G$5:$G$19,MATCH($B126,Obras!$A$5:$A$19,0))="","",INDEX(Obras!$G$5:$G$19,MATCH($B126,Obras!$A$5:$A$19,0))),""))</x:f>
      </x:c>
      <x:c r="E126" s="259"/>
      <x:c r="F126" s="268"/>
      <x:c r="G126" s="259"/>
      <x:c r="H126" s="259"/>
      <x:c r="I126" s="259"/>
      <x:c r="J126" s="181" t="str">
        <x:f t="shared" si="2"/>
      </x:c>
      <x:c r="K126" s="176" t="str">
        <x:f t="shared" si="3"/>
      </x:c>
      <x:c r="L126" s="181" t="str">
        <x:f>IF($C126="","",IFERROR(IF(INDEX(Catalogo!$H$5:$H$86,MATCH($C126,Catalogo!$A$5:$A$86,0))="","",INDEX(Catalogo!$H$5:$H$86,MATCH($C126,Catalogo!$A$5:$A$86,0))),""))</x:f>
      </x:c>
      <x:c r="M126" s="176" t="str">
        <x:f>IF(OR($B126="",$L126=""),"",IFERROR(IF(INDEX(Obras!$H$5:$H$19,MATCH($B126,Obras!$A$5:$A$19,0))="","",IF(INDEX(Obras!$H$5:$H$19,MATCH($B126,Obras!$A$5:$A$19,0))&gt;$L126,"VENCIDA",IF($L126-INDEX(Obras!$H$5:$H$19,MATCH($B126,Obras!$A$5:$A$19,0))&lt;=0.5,"VENCE EM ATÉ 6 MESES","VIGENTE"))),""))</x:f>
      </x:c>
      <x:c r="N126" s="268"/>
    </x:row>
    <x:row r="127" ht="30" customHeight="1">
      <x:c r="A127" s="176" t="str">
        <x:f>IF(OR($B127="",$C127=""),"","LC-"&amp;TEXT(123,"0000"))</x:f>
      </x:c>
      <x:c r="B127" s="259"/>
      <x:c r="C127" s="259"/>
      <x:c r="D127" s="271" t="str">
        <x:f>IF($B127="","",IFERROR(IF(INDEX(Obras!$G$5:$G$19,MATCH($B127,Obras!$A$5:$A$19,0))="","",INDEX(Obras!$G$5:$G$19,MATCH($B127,Obras!$A$5:$A$19,0))),""))</x:f>
      </x:c>
      <x:c r="E127" s="259"/>
      <x:c r="F127" s="268"/>
      <x:c r="G127" s="259"/>
      <x:c r="H127" s="259"/>
      <x:c r="I127" s="259"/>
      <x:c r="J127" s="181" t="str">
        <x:f t="shared" si="2"/>
      </x:c>
      <x:c r="K127" s="176" t="str">
        <x:f t="shared" si="3"/>
      </x:c>
      <x:c r="L127" s="181" t="str">
        <x:f>IF($C127="","",IFERROR(IF(INDEX(Catalogo!$H$5:$H$86,MATCH($C127,Catalogo!$A$5:$A$86,0))="","",INDEX(Catalogo!$H$5:$H$86,MATCH($C127,Catalogo!$A$5:$A$86,0))),""))</x:f>
      </x:c>
      <x:c r="M127" s="176" t="str">
        <x:f>IF(OR($B127="",$L127=""),"",IFERROR(IF(INDEX(Obras!$H$5:$H$19,MATCH($B127,Obras!$A$5:$A$19,0))="","",IF(INDEX(Obras!$H$5:$H$19,MATCH($B127,Obras!$A$5:$A$19,0))&gt;$L127,"VENCIDA",IF($L127-INDEX(Obras!$H$5:$H$19,MATCH($B127,Obras!$A$5:$A$19,0))&lt;=0.5,"VENCE EM ATÉ 6 MESES","VIGENTE"))),""))</x:f>
      </x:c>
      <x:c r="N127" s="268"/>
    </x:row>
    <x:row r="128" ht="30" customHeight="1">
      <x:c r="A128" s="176" t="str">
        <x:f>IF(OR($B128="",$C128=""),"","LC-"&amp;TEXT(124,"0000"))</x:f>
      </x:c>
      <x:c r="B128" s="259"/>
      <x:c r="C128" s="259"/>
      <x:c r="D128" s="271" t="str">
        <x:f>IF($B128="","",IFERROR(IF(INDEX(Obras!$G$5:$G$19,MATCH($B128,Obras!$A$5:$A$19,0))="","",INDEX(Obras!$G$5:$G$19,MATCH($B128,Obras!$A$5:$A$19,0))),""))</x:f>
      </x:c>
      <x:c r="E128" s="259"/>
      <x:c r="F128" s="268"/>
      <x:c r="G128" s="259"/>
      <x:c r="H128" s="259"/>
      <x:c r="I128" s="259"/>
      <x:c r="J128" s="181" t="str">
        <x:f t="shared" si="2"/>
      </x:c>
      <x:c r="K128" s="176" t="str">
        <x:f t="shared" si="3"/>
      </x:c>
      <x:c r="L128" s="181" t="str">
        <x:f>IF($C128="","",IFERROR(IF(INDEX(Catalogo!$H$5:$H$86,MATCH($C128,Catalogo!$A$5:$A$86,0))="","",INDEX(Catalogo!$H$5:$H$86,MATCH($C128,Catalogo!$A$5:$A$86,0))),""))</x:f>
      </x:c>
      <x:c r="M128" s="176" t="str">
        <x:f>IF(OR($B128="",$L128=""),"",IFERROR(IF(INDEX(Obras!$H$5:$H$19,MATCH($B128,Obras!$A$5:$A$19,0))="","",IF(INDEX(Obras!$H$5:$H$19,MATCH($B128,Obras!$A$5:$A$19,0))&gt;$L128,"VENCIDA",IF($L128-INDEX(Obras!$H$5:$H$19,MATCH($B128,Obras!$A$5:$A$19,0))&lt;=0.5,"VENCE EM ATÉ 6 MESES","VIGENTE"))),""))</x:f>
      </x:c>
      <x:c r="N128" s="268"/>
    </x:row>
    <x:row r="129" ht="30" customHeight="1">
      <x:c r="A129" s="176" t="str">
        <x:f>IF(OR($B129="",$C129=""),"","LC-"&amp;TEXT(125,"0000"))</x:f>
      </x:c>
      <x:c r="B129" s="259"/>
      <x:c r="C129" s="259"/>
      <x:c r="D129" s="271" t="str">
        <x:f>IF($B129="","",IFERROR(IF(INDEX(Obras!$G$5:$G$19,MATCH($B129,Obras!$A$5:$A$19,0))="","",INDEX(Obras!$G$5:$G$19,MATCH($B129,Obras!$A$5:$A$19,0))),""))</x:f>
      </x:c>
      <x:c r="E129" s="259"/>
      <x:c r="F129" s="268"/>
      <x:c r="G129" s="259"/>
      <x:c r="H129" s="259"/>
      <x:c r="I129" s="259"/>
      <x:c r="J129" s="181" t="str">
        <x:f t="shared" si="2"/>
      </x:c>
      <x:c r="K129" s="176" t="str">
        <x:f t="shared" si="3"/>
      </x:c>
      <x:c r="L129" s="181" t="str">
        <x:f>IF($C129="","",IFERROR(IF(INDEX(Catalogo!$H$5:$H$86,MATCH($C129,Catalogo!$A$5:$A$86,0))="","",INDEX(Catalogo!$H$5:$H$86,MATCH($C129,Catalogo!$A$5:$A$86,0))),""))</x:f>
      </x:c>
      <x:c r="M129" s="176" t="str">
        <x:f>IF(OR($B129="",$L129=""),"",IFERROR(IF(INDEX(Obras!$H$5:$H$19,MATCH($B129,Obras!$A$5:$A$19,0))="","",IF(INDEX(Obras!$H$5:$H$19,MATCH($B129,Obras!$A$5:$A$19,0))&gt;$L129,"VENCIDA",IF($L129-INDEX(Obras!$H$5:$H$19,MATCH($B129,Obras!$A$5:$A$19,0))&lt;=0.5,"VENCE EM ATÉ 6 MESES","VIGENTE"))),""))</x:f>
      </x:c>
      <x:c r="N129" s="268"/>
    </x:row>
    <x:row r="130" ht="30" customHeight="1">
      <x:c r="A130" s="176" t="str">
        <x:f>IF(OR($B130="",$C130=""),"","LC-"&amp;TEXT(126,"0000"))</x:f>
      </x:c>
      <x:c r="B130" s="259"/>
      <x:c r="C130" s="259"/>
      <x:c r="D130" s="271" t="str">
        <x:f>IF($B130="","",IFERROR(IF(INDEX(Obras!$G$5:$G$19,MATCH($B130,Obras!$A$5:$A$19,0))="","",INDEX(Obras!$G$5:$G$19,MATCH($B130,Obras!$A$5:$A$19,0))),""))</x:f>
      </x:c>
      <x:c r="E130" s="259"/>
      <x:c r="F130" s="268"/>
      <x:c r="G130" s="259"/>
      <x:c r="H130" s="259"/>
      <x:c r="I130" s="259"/>
      <x:c r="J130" s="181" t="str">
        <x:f t="shared" si="2"/>
      </x:c>
      <x:c r="K130" s="176" t="str">
        <x:f t="shared" si="3"/>
      </x:c>
      <x:c r="L130" s="181" t="str">
        <x:f>IF($C130="","",IFERROR(IF(INDEX(Catalogo!$H$5:$H$86,MATCH($C130,Catalogo!$A$5:$A$86,0))="","",INDEX(Catalogo!$H$5:$H$86,MATCH($C130,Catalogo!$A$5:$A$86,0))),""))</x:f>
      </x:c>
      <x:c r="M130" s="176" t="str">
        <x:f>IF(OR($B130="",$L130=""),"",IFERROR(IF(INDEX(Obras!$H$5:$H$19,MATCH($B130,Obras!$A$5:$A$19,0))="","",IF(INDEX(Obras!$H$5:$H$19,MATCH($B130,Obras!$A$5:$A$19,0))&gt;$L130,"VENCIDA",IF($L130-INDEX(Obras!$H$5:$H$19,MATCH($B130,Obras!$A$5:$A$19,0))&lt;=0.5,"VENCE EM ATÉ 6 MESES","VIGENTE"))),""))</x:f>
      </x:c>
      <x:c r="N130" s="268"/>
    </x:row>
    <x:row r="131" ht="30" customHeight="1">
      <x:c r="A131" s="176" t="str">
        <x:f>IF(OR($B131="",$C131=""),"","LC-"&amp;TEXT(127,"0000"))</x:f>
      </x:c>
      <x:c r="B131" s="259"/>
      <x:c r="C131" s="259"/>
      <x:c r="D131" s="271" t="str">
        <x:f>IF($B131="","",IFERROR(IF(INDEX(Obras!$G$5:$G$19,MATCH($B131,Obras!$A$5:$A$19,0))="","",INDEX(Obras!$G$5:$G$19,MATCH($B131,Obras!$A$5:$A$19,0))),""))</x:f>
      </x:c>
      <x:c r="E131" s="259"/>
      <x:c r="F131" s="268"/>
      <x:c r="G131" s="259"/>
      <x:c r="H131" s="259"/>
      <x:c r="I131" s="259"/>
      <x:c r="J131" s="181" t="str">
        <x:f t="shared" si="2"/>
      </x:c>
      <x:c r="K131" s="176" t="str">
        <x:f t="shared" si="3"/>
      </x:c>
      <x:c r="L131" s="181" t="str">
        <x:f>IF($C131="","",IFERROR(IF(INDEX(Catalogo!$H$5:$H$86,MATCH($C131,Catalogo!$A$5:$A$86,0))="","",INDEX(Catalogo!$H$5:$H$86,MATCH($C131,Catalogo!$A$5:$A$86,0))),""))</x:f>
      </x:c>
      <x:c r="M131" s="176" t="str">
        <x:f>IF(OR($B131="",$L131=""),"",IFERROR(IF(INDEX(Obras!$H$5:$H$19,MATCH($B131,Obras!$A$5:$A$19,0))="","",IF(INDEX(Obras!$H$5:$H$19,MATCH($B131,Obras!$A$5:$A$19,0))&gt;$L131,"VENCIDA",IF($L131-INDEX(Obras!$H$5:$H$19,MATCH($B131,Obras!$A$5:$A$19,0))&lt;=0.5,"VENCE EM ATÉ 6 MESES","VIGENTE"))),""))</x:f>
      </x:c>
      <x:c r="N131" s="268"/>
    </x:row>
    <x:row r="132" ht="30" customHeight="1">
      <x:c r="A132" s="176" t="str">
        <x:f>IF(OR($B132="",$C132=""),"","LC-"&amp;TEXT(128,"0000"))</x:f>
      </x:c>
      <x:c r="B132" s="259"/>
      <x:c r="C132" s="259"/>
      <x:c r="D132" s="271" t="str">
        <x:f>IF($B132="","",IFERROR(IF(INDEX(Obras!$G$5:$G$19,MATCH($B132,Obras!$A$5:$A$19,0))="","",INDEX(Obras!$G$5:$G$19,MATCH($B132,Obras!$A$5:$A$19,0))),""))</x:f>
      </x:c>
      <x:c r="E132" s="259"/>
      <x:c r="F132" s="268"/>
      <x:c r="G132" s="259"/>
      <x:c r="H132" s="259"/>
      <x:c r="I132" s="259"/>
      <x:c r="J132" s="181" t="str">
        <x:f t="shared" si="2"/>
      </x:c>
      <x:c r="K132" s="176" t="str">
        <x:f t="shared" si="3"/>
      </x:c>
      <x:c r="L132" s="181" t="str">
        <x:f>IF($C132="","",IFERROR(IF(INDEX(Catalogo!$H$5:$H$86,MATCH($C132,Catalogo!$A$5:$A$86,0))="","",INDEX(Catalogo!$H$5:$H$86,MATCH($C132,Catalogo!$A$5:$A$86,0))),""))</x:f>
      </x:c>
      <x:c r="M132" s="176" t="str">
        <x:f>IF(OR($B132="",$L132=""),"",IFERROR(IF(INDEX(Obras!$H$5:$H$19,MATCH($B132,Obras!$A$5:$A$19,0))="","",IF(INDEX(Obras!$H$5:$H$19,MATCH($B132,Obras!$A$5:$A$19,0))&gt;$L132,"VENCIDA",IF($L132-INDEX(Obras!$H$5:$H$19,MATCH($B132,Obras!$A$5:$A$19,0))&lt;=0.5,"VENCE EM ATÉ 6 MESES","VIGENTE"))),""))</x:f>
      </x:c>
      <x:c r="N132" s="268"/>
    </x:row>
    <x:row r="133" ht="30" customHeight="1">
      <x:c r="A133" s="176" t="str">
        <x:f>IF(OR($B133="",$C133=""),"","LC-"&amp;TEXT(129,"0000"))</x:f>
      </x:c>
      <x:c r="B133" s="259"/>
      <x:c r="C133" s="259"/>
      <x:c r="D133" s="271" t="str">
        <x:f>IF($B133="","",IFERROR(IF(INDEX(Obras!$G$5:$G$19,MATCH($B133,Obras!$A$5:$A$19,0))="","",INDEX(Obras!$G$5:$G$19,MATCH($B133,Obras!$A$5:$A$19,0))),""))</x:f>
      </x:c>
      <x:c r="E133" s="259"/>
      <x:c r="F133" s="268"/>
      <x:c r="G133" s="259"/>
      <x:c r="H133" s="259"/>
      <x:c r="I133" s="259"/>
      <x:c r="J133" s="181" t="str">
        <x:f t="shared" ref="J133:J196" si="4">IF(COUNT($G133:$I133)=3,$G133*$H133*$I133,"")</x:f>
      </x:c>
      <x:c r="K133" s="176" t="str">
        <x:f t="shared" ref="K133:K196" si="5">IF($J133="","",IF($J133&gt;=512,"Prioridade 1",IF($J133&gt;=108,"Prioridade 2","Prioridade 3")))</x:f>
      </x:c>
      <x:c r="L133" s="181" t="str">
        <x:f>IF($C133="","",IFERROR(IF(INDEX(Catalogo!$H$5:$H$86,MATCH($C133,Catalogo!$A$5:$A$86,0))="","",INDEX(Catalogo!$H$5:$H$86,MATCH($C133,Catalogo!$A$5:$A$86,0))),""))</x:f>
      </x:c>
      <x:c r="M133" s="176" t="str">
        <x:f>IF(OR($B133="",$L133=""),"",IFERROR(IF(INDEX(Obras!$H$5:$H$19,MATCH($B133,Obras!$A$5:$A$19,0))="","",IF(INDEX(Obras!$H$5:$H$19,MATCH($B133,Obras!$A$5:$A$19,0))&gt;$L133,"VENCIDA",IF($L133-INDEX(Obras!$H$5:$H$19,MATCH($B133,Obras!$A$5:$A$19,0))&lt;=0.5,"VENCE EM ATÉ 6 MESES","VIGENTE"))),""))</x:f>
      </x:c>
      <x:c r="N133" s="268"/>
    </x:row>
    <x:row r="134" ht="30" customHeight="1">
      <x:c r="A134" s="176" t="str">
        <x:f>IF(OR($B134="",$C134=""),"","LC-"&amp;TEXT(130,"0000"))</x:f>
      </x:c>
      <x:c r="B134" s="259"/>
      <x:c r="C134" s="259"/>
      <x:c r="D134" s="271" t="str">
        <x:f>IF($B134="","",IFERROR(IF(INDEX(Obras!$G$5:$G$19,MATCH($B134,Obras!$A$5:$A$19,0))="","",INDEX(Obras!$G$5:$G$19,MATCH($B134,Obras!$A$5:$A$19,0))),""))</x:f>
      </x:c>
      <x:c r="E134" s="259"/>
      <x:c r="F134" s="268"/>
      <x:c r="G134" s="259"/>
      <x:c r="H134" s="259"/>
      <x:c r="I134" s="259"/>
      <x:c r="J134" s="181" t="str">
        <x:f t="shared" si="4"/>
      </x:c>
      <x:c r="K134" s="176" t="str">
        <x:f t="shared" si="5"/>
      </x:c>
      <x:c r="L134" s="181" t="str">
        <x:f>IF($C134="","",IFERROR(IF(INDEX(Catalogo!$H$5:$H$86,MATCH($C134,Catalogo!$A$5:$A$86,0))="","",INDEX(Catalogo!$H$5:$H$86,MATCH($C134,Catalogo!$A$5:$A$86,0))),""))</x:f>
      </x:c>
      <x:c r="M134" s="176" t="str">
        <x:f>IF(OR($B134="",$L134=""),"",IFERROR(IF(INDEX(Obras!$H$5:$H$19,MATCH($B134,Obras!$A$5:$A$19,0))="","",IF(INDEX(Obras!$H$5:$H$19,MATCH($B134,Obras!$A$5:$A$19,0))&gt;$L134,"VENCIDA",IF($L134-INDEX(Obras!$H$5:$H$19,MATCH($B134,Obras!$A$5:$A$19,0))&lt;=0.5,"VENCE EM ATÉ 6 MESES","VIGENTE"))),""))</x:f>
      </x:c>
      <x:c r="N134" s="268"/>
    </x:row>
    <x:row r="135" ht="30" customHeight="1">
      <x:c r="A135" s="176" t="str">
        <x:f>IF(OR($B135="",$C135=""),"","LC-"&amp;TEXT(131,"0000"))</x:f>
      </x:c>
      <x:c r="B135" s="259"/>
      <x:c r="C135" s="259"/>
      <x:c r="D135" s="271" t="str">
        <x:f>IF($B135="","",IFERROR(IF(INDEX(Obras!$G$5:$G$19,MATCH($B135,Obras!$A$5:$A$19,0))="","",INDEX(Obras!$G$5:$G$19,MATCH($B135,Obras!$A$5:$A$19,0))),""))</x:f>
      </x:c>
      <x:c r="E135" s="259"/>
      <x:c r="F135" s="268"/>
      <x:c r="G135" s="259"/>
      <x:c r="H135" s="259"/>
      <x:c r="I135" s="259"/>
      <x:c r="J135" s="181" t="str">
        <x:f t="shared" si="4"/>
      </x:c>
      <x:c r="K135" s="176" t="str">
        <x:f t="shared" si="5"/>
      </x:c>
      <x:c r="L135" s="181" t="str">
        <x:f>IF($C135="","",IFERROR(IF(INDEX(Catalogo!$H$5:$H$86,MATCH($C135,Catalogo!$A$5:$A$86,0))="","",INDEX(Catalogo!$H$5:$H$86,MATCH($C135,Catalogo!$A$5:$A$86,0))),""))</x:f>
      </x:c>
      <x:c r="M135" s="176" t="str">
        <x:f>IF(OR($B135="",$L135=""),"",IFERROR(IF(INDEX(Obras!$H$5:$H$19,MATCH($B135,Obras!$A$5:$A$19,0))="","",IF(INDEX(Obras!$H$5:$H$19,MATCH($B135,Obras!$A$5:$A$19,0))&gt;$L135,"VENCIDA",IF($L135-INDEX(Obras!$H$5:$H$19,MATCH($B135,Obras!$A$5:$A$19,0))&lt;=0.5,"VENCE EM ATÉ 6 MESES","VIGENTE"))),""))</x:f>
      </x:c>
      <x:c r="N135" s="268"/>
    </x:row>
    <x:row r="136" ht="30" customHeight="1">
      <x:c r="A136" s="176" t="str">
        <x:f>IF(OR($B136="",$C136=""),"","LC-"&amp;TEXT(132,"0000"))</x:f>
      </x:c>
      <x:c r="B136" s="259"/>
      <x:c r="C136" s="259"/>
      <x:c r="D136" s="271" t="str">
        <x:f>IF($B136="","",IFERROR(IF(INDEX(Obras!$G$5:$G$19,MATCH($B136,Obras!$A$5:$A$19,0))="","",INDEX(Obras!$G$5:$G$19,MATCH($B136,Obras!$A$5:$A$19,0))),""))</x:f>
      </x:c>
      <x:c r="E136" s="259"/>
      <x:c r="F136" s="268"/>
      <x:c r="G136" s="259"/>
      <x:c r="H136" s="259"/>
      <x:c r="I136" s="259"/>
      <x:c r="J136" s="181" t="str">
        <x:f t="shared" si="4"/>
      </x:c>
      <x:c r="K136" s="176" t="str">
        <x:f t="shared" si="5"/>
      </x:c>
      <x:c r="L136" s="181" t="str">
        <x:f>IF($C136="","",IFERROR(IF(INDEX(Catalogo!$H$5:$H$86,MATCH($C136,Catalogo!$A$5:$A$86,0))="","",INDEX(Catalogo!$H$5:$H$86,MATCH($C136,Catalogo!$A$5:$A$86,0))),""))</x:f>
      </x:c>
      <x:c r="M136" s="176" t="str">
        <x:f>IF(OR($B136="",$L136=""),"",IFERROR(IF(INDEX(Obras!$H$5:$H$19,MATCH($B136,Obras!$A$5:$A$19,0))="","",IF(INDEX(Obras!$H$5:$H$19,MATCH($B136,Obras!$A$5:$A$19,0))&gt;$L136,"VENCIDA",IF($L136-INDEX(Obras!$H$5:$H$19,MATCH($B136,Obras!$A$5:$A$19,0))&lt;=0.5,"VENCE EM ATÉ 6 MESES","VIGENTE"))),""))</x:f>
      </x:c>
      <x:c r="N136" s="268"/>
    </x:row>
    <x:row r="137" ht="30" customHeight="1">
      <x:c r="A137" s="176" t="str">
        <x:f>IF(OR($B137="",$C137=""),"","LC-"&amp;TEXT(133,"0000"))</x:f>
      </x:c>
      <x:c r="B137" s="259"/>
      <x:c r="C137" s="259"/>
      <x:c r="D137" s="271" t="str">
        <x:f>IF($B137="","",IFERROR(IF(INDEX(Obras!$G$5:$G$19,MATCH($B137,Obras!$A$5:$A$19,0))="","",INDEX(Obras!$G$5:$G$19,MATCH($B137,Obras!$A$5:$A$19,0))),""))</x:f>
      </x:c>
      <x:c r="E137" s="259"/>
      <x:c r="F137" s="268"/>
      <x:c r="G137" s="259"/>
      <x:c r="H137" s="259"/>
      <x:c r="I137" s="259"/>
      <x:c r="J137" s="181" t="str">
        <x:f t="shared" si="4"/>
      </x:c>
      <x:c r="K137" s="176" t="str">
        <x:f t="shared" si="5"/>
      </x:c>
      <x:c r="L137" s="181" t="str">
        <x:f>IF($C137="","",IFERROR(IF(INDEX(Catalogo!$H$5:$H$86,MATCH($C137,Catalogo!$A$5:$A$86,0))="","",INDEX(Catalogo!$H$5:$H$86,MATCH($C137,Catalogo!$A$5:$A$86,0))),""))</x:f>
      </x:c>
      <x:c r="M137" s="176" t="str">
        <x:f>IF(OR($B137="",$L137=""),"",IFERROR(IF(INDEX(Obras!$H$5:$H$19,MATCH($B137,Obras!$A$5:$A$19,0))="","",IF(INDEX(Obras!$H$5:$H$19,MATCH($B137,Obras!$A$5:$A$19,0))&gt;$L137,"VENCIDA",IF($L137-INDEX(Obras!$H$5:$H$19,MATCH($B137,Obras!$A$5:$A$19,0))&lt;=0.5,"VENCE EM ATÉ 6 MESES","VIGENTE"))),""))</x:f>
      </x:c>
      <x:c r="N137" s="268"/>
    </x:row>
    <x:row r="138" ht="30" customHeight="1">
      <x:c r="A138" s="176" t="str">
        <x:f>IF(OR($B138="",$C138=""),"","LC-"&amp;TEXT(134,"0000"))</x:f>
      </x:c>
      <x:c r="B138" s="259"/>
      <x:c r="C138" s="259"/>
      <x:c r="D138" s="271" t="str">
        <x:f>IF($B138="","",IFERROR(IF(INDEX(Obras!$G$5:$G$19,MATCH($B138,Obras!$A$5:$A$19,0))="","",INDEX(Obras!$G$5:$G$19,MATCH($B138,Obras!$A$5:$A$19,0))),""))</x:f>
      </x:c>
      <x:c r="E138" s="259"/>
      <x:c r="F138" s="268"/>
      <x:c r="G138" s="259"/>
      <x:c r="H138" s="259"/>
      <x:c r="I138" s="259"/>
      <x:c r="J138" s="181" t="str">
        <x:f t="shared" si="4"/>
      </x:c>
      <x:c r="K138" s="176" t="str">
        <x:f t="shared" si="5"/>
      </x:c>
      <x:c r="L138" s="181" t="str">
        <x:f>IF($C138="","",IFERROR(IF(INDEX(Catalogo!$H$5:$H$86,MATCH($C138,Catalogo!$A$5:$A$86,0))="","",INDEX(Catalogo!$H$5:$H$86,MATCH($C138,Catalogo!$A$5:$A$86,0))),""))</x:f>
      </x:c>
      <x:c r="M138" s="176" t="str">
        <x:f>IF(OR($B138="",$L138=""),"",IFERROR(IF(INDEX(Obras!$H$5:$H$19,MATCH($B138,Obras!$A$5:$A$19,0))="","",IF(INDEX(Obras!$H$5:$H$19,MATCH($B138,Obras!$A$5:$A$19,0))&gt;$L138,"VENCIDA",IF($L138-INDEX(Obras!$H$5:$H$19,MATCH($B138,Obras!$A$5:$A$19,0))&lt;=0.5,"VENCE EM ATÉ 6 MESES","VIGENTE"))),""))</x:f>
      </x:c>
      <x:c r="N138" s="268"/>
    </x:row>
    <x:row r="139" ht="30" customHeight="1">
      <x:c r="A139" s="176" t="str">
        <x:f>IF(OR($B139="",$C139=""),"","LC-"&amp;TEXT(135,"0000"))</x:f>
      </x:c>
      <x:c r="B139" s="259"/>
      <x:c r="C139" s="259"/>
      <x:c r="D139" s="271" t="str">
        <x:f>IF($B139="","",IFERROR(IF(INDEX(Obras!$G$5:$G$19,MATCH($B139,Obras!$A$5:$A$19,0))="","",INDEX(Obras!$G$5:$G$19,MATCH($B139,Obras!$A$5:$A$19,0))),""))</x:f>
      </x:c>
      <x:c r="E139" s="259"/>
      <x:c r="F139" s="268"/>
      <x:c r="G139" s="259"/>
      <x:c r="H139" s="259"/>
      <x:c r="I139" s="259"/>
      <x:c r="J139" s="181" t="str">
        <x:f t="shared" si="4"/>
      </x:c>
      <x:c r="K139" s="176" t="str">
        <x:f t="shared" si="5"/>
      </x:c>
      <x:c r="L139" s="181" t="str">
        <x:f>IF($C139="","",IFERROR(IF(INDEX(Catalogo!$H$5:$H$86,MATCH($C139,Catalogo!$A$5:$A$86,0))="","",INDEX(Catalogo!$H$5:$H$86,MATCH($C139,Catalogo!$A$5:$A$86,0))),""))</x:f>
      </x:c>
      <x:c r="M139" s="176" t="str">
        <x:f>IF(OR($B139="",$L139=""),"",IFERROR(IF(INDEX(Obras!$H$5:$H$19,MATCH($B139,Obras!$A$5:$A$19,0))="","",IF(INDEX(Obras!$H$5:$H$19,MATCH($B139,Obras!$A$5:$A$19,0))&gt;$L139,"VENCIDA",IF($L139-INDEX(Obras!$H$5:$H$19,MATCH($B139,Obras!$A$5:$A$19,0))&lt;=0.5,"VENCE EM ATÉ 6 MESES","VIGENTE"))),""))</x:f>
      </x:c>
      <x:c r="N139" s="268"/>
    </x:row>
    <x:row r="140" ht="30" customHeight="1">
      <x:c r="A140" s="176" t="str">
        <x:f>IF(OR($B140="",$C140=""),"","LC-"&amp;TEXT(136,"0000"))</x:f>
      </x:c>
      <x:c r="B140" s="259"/>
      <x:c r="C140" s="259"/>
      <x:c r="D140" s="271" t="str">
        <x:f>IF($B140="","",IFERROR(IF(INDEX(Obras!$G$5:$G$19,MATCH($B140,Obras!$A$5:$A$19,0))="","",INDEX(Obras!$G$5:$G$19,MATCH($B140,Obras!$A$5:$A$19,0))),""))</x:f>
      </x:c>
      <x:c r="E140" s="259"/>
      <x:c r="F140" s="268"/>
      <x:c r="G140" s="259"/>
      <x:c r="H140" s="259"/>
      <x:c r="I140" s="259"/>
      <x:c r="J140" s="181" t="str">
        <x:f t="shared" si="4"/>
      </x:c>
      <x:c r="K140" s="176" t="str">
        <x:f t="shared" si="5"/>
      </x:c>
      <x:c r="L140" s="181" t="str">
        <x:f>IF($C140="","",IFERROR(IF(INDEX(Catalogo!$H$5:$H$86,MATCH($C140,Catalogo!$A$5:$A$86,0))="","",INDEX(Catalogo!$H$5:$H$86,MATCH($C140,Catalogo!$A$5:$A$86,0))),""))</x:f>
      </x:c>
      <x:c r="M140" s="176" t="str">
        <x:f>IF(OR($B140="",$L140=""),"",IFERROR(IF(INDEX(Obras!$H$5:$H$19,MATCH($B140,Obras!$A$5:$A$19,0))="","",IF(INDEX(Obras!$H$5:$H$19,MATCH($B140,Obras!$A$5:$A$19,0))&gt;$L140,"VENCIDA",IF($L140-INDEX(Obras!$H$5:$H$19,MATCH($B140,Obras!$A$5:$A$19,0))&lt;=0.5,"VENCE EM ATÉ 6 MESES","VIGENTE"))),""))</x:f>
      </x:c>
      <x:c r="N140" s="268"/>
    </x:row>
    <x:row r="141" ht="30" customHeight="1">
      <x:c r="A141" s="176" t="str">
        <x:f>IF(OR($B141="",$C141=""),"","LC-"&amp;TEXT(137,"0000"))</x:f>
      </x:c>
      <x:c r="B141" s="259"/>
      <x:c r="C141" s="259"/>
      <x:c r="D141" s="271" t="str">
        <x:f>IF($B141="","",IFERROR(IF(INDEX(Obras!$G$5:$G$19,MATCH($B141,Obras!$A$5:$A$19,0))="","",INDEX(Obras!$G$5:$G$19,MATCH($B141,Obras!$A$5:$A$19,0))),""))</x:f>
      </x:c>
      <x:c r="E141" s="259"/>
      <x:c r="F141" s="268"/>
      <x:c r="G141" s="259"/>
      <x:c r="H141" s="259"/>
      <x:c r="I141" s="259"/>
      <x:c r="J141" s="181" t="str">
        <x:f t="shared" si="4"/>
      </x:c>
      <x:c r="K141" s="176" t="str">
        <x:f t="shared" si="5"/>
      </x:c>
      <x:c r="L141" s="181" t="str">
        <x:f>IF($C141="","",IFERROR(IF(INDEX(Catalogo!$H$5:$H$86,MATCH($C141,Catalogo!$A$5:$A$86,0))="","",INDEX(Catalogo!$H$5:$H$86,MATCH($C141,Catalogo!$A$5:$A$86,0))),""))</x:f>
      </x:c>
      <x:c r="M141" s="176" t="str">
        <x:f>IF(OR($B141="",$L141=""),"",IFERROR(IF(INDEX(Obras!$H$5:$H$19,MATCH($B141,Obras!$A$5:$A$19,0))="","",IF(INDEX(Obras!$H$5:$H$19,MATCH($B141,Obras!$A$5:$A$19,0))&gt;$L141,"VENCIDA",IF($L141-INDEX(Obras!$H$5:$H$19,MATCH($B141,Obras!$A$5:$A$19,0))&lt;=0.5,"VENCE EM ATÉ 6 MESES","VIGENTE"))),""))</x:f>
      </x:c>
      <x:c r="N141" s="268"/>
    </x:row>
    <x:row r="142" ht="30" customHeight="1">
      <x:c r="A142" s="176" t="str">
        <x:f>IF(OR($B142="",$C142=""),"","LC-"&amp;TEXT(138,"0000"))</x:f>
      </x:c>
      <x:c r="B142" s="259"/>
      <x:c r="C142" s="259"/>
      <x:c r="D142" s="271" t="str">
        <x:f>IF($B142="","",IFERROR(IF(INDEX(Obras!$G$5:$G$19,MATCH($B142,Obras!$A$5:$A$19,0))="","",INDEX(Obras!$G$5:$G$19,MATCH($B142,Obras!$A$5:$A$19,0))),""))</x:f>
      </x:c>
      <x:c r="E142" s="259"/>
      <x:c r="F142" s="268"/>
      <x:c r="G142" s="259"/>
      <x:c r="H142" s="259"/>
      <x:c r="I142" s="259"/>
      <x:c r="J142" s="181" t="str">
        <x:f t="shared" si="4"/>
      </x:c>
      <x:c r="K142" s="176" t="str">
        <x:f t="shared" si="5"/>
      </x:c>
      <x:c r="L142" s="181" t="str">
        <x:f>IF($C142="","",IFERROR(IF(INDEX(Catalogo!$H$5:$H$86,MATCH($C142,Catalogo!$A$5:$A$86,0))="","",INDEX(Catalogo!$H$5:$H$86,MATCH($C142,Catalogo!$A$5:$A$86,0))),""))</x:f>
      </x:c>
      <x:c r="M142" s="176" t="str">
        <x:f>IF(OR($B142="",$L142=""),"",IFERROR(IF(INDEX(Obras!$H$5:$H$19,MATCH($B142,Obras!$A$5:$A$19,0))="","",IF(INDEX(Obras!$H$5:$H$19,MATCH($B142,Obras!$A$5:$A$19,0))&gt;$L142,"VENCIDA",IF($L142-INDEX(Obras!$H$5:$H$19,MATCH($B142,Obras!$A$5:$A$19,0))&lt;=0.5,"VENCE EM ATÉ 6 MESES","VIGENTE"))),""))</x:f>
      </x:c>
      <x:c r="N142" s="268"/>
    </x:row>
    <x:row r="143" ht="30" customHeight="1">
      <x:c r="A143" s="176" t="str">
        <x:f>IF(OR($B143="",$C143=""),"","LC-"&amp;TEXT(139,"0000"))</x:f>
      </x:c>
      <x:c r="B143" s="259"/>
      <x:c r="C143" s="259"/>
      <x:c r="D143" s="271" t="str">
        <x:f>IF($B143="","",IFERROR(IF(INDEX(Obras!$G$5:$G$19,MATCH($B143,Obras!$A$5:$A$19,0))="","",INDEX(Obras!$G$5:$G$19,MATCH($B143,Obras!$A$5:$A$19,0))),""))</x:f>
      </x:c>
      <x:c r="E143" s="259"/>
      <x:c r="F143" s="268"/>
      <x:c r="G143" s="259"/>
      <x:c r="H143" s="259"/>
      <x:c r="I143" s="259"/>
      <x:c r="J143" s="181" t="str">
        <x:f t="shared" si="4"/>
      </x:c>
      <x:c r="K143" s="176" t="str">
        <x:f t="shared" si="5"/>
      </x:c>
      <x:c r="L143" s="181" t="str">
        <x:f>IF($C143="","",IFERROR(IF(INDEX(Catalogo!$H$5:$H$86,MATCH($C143,Catalogo!$A$5:$A$86,0))="","",INDEX(Catalogo!$H$5:$H$86,MATCH($C143,Catalogo!$A$5:$A$86,0))),""))</x:f>
      </x:c>
      <x:c r="M143" s="176" t="str">
        <x:f>IF(OR($B143="",$L143=""),"",IFERROR(IF(INDEX(Obras!$H$5:$H$19,MATCH($B143,Obras!$A$5:$A$19,0))="","",IF(INDEX(Obras!$H$5:$H$19,MATCH($B143,Obras!$A$5:$A$19,0))&gt;$L143,"VENCIDA",IF($L143-INDEX(Obras!$H$5:$H$19,MATCH($B143,Obras!$A$5:$A$19,0))&lt;=0.5,"VENCE EM ATÉ 6 MESES","VIGENTE"))),""))</x:f>
      </x:c>
      <x:c r="N143" s="268"/>
    </x:row>
    <x:row r="144" ht="30" customHeight="1">
      <x:c r="A144" s="176" t="str">
        <x:f>IF(OR($B144="",$C144=""),"","LC-"&amp;TEXT(140,"0000"))</x:f>
      </x:c>
      <x:c r="B144" s="259"/>
      <x:c r="C144" s="259"/>
      <x:c r="D144" s="271" t="str">
        <x:f>IF($B144="","",IFERROR(IF(INDEX(Obras!$G$5:$G$19,MATCH($B144,Obras!$A$5:$A$19,0))="","",INDEX(Obras!$G$5:$G$19,MATCH($B144,Obras!$A$5:$A$19,0))),""))</x:f>
      </x:c>
      <x:c r="E144" s="259"/>
      <x:c r="F144" s="268"/>
      <x:c r="G144" s="259"/>
      <x:c r="H144" s="259"/>
      <x:c r="I144" s="259"/>
      <x:c r="J144" s="181" t="str">
        <x:f t="shared" si="4"/>
      </x:c>
      <x:c r="K144" s="176" t="str">
        <x:f t="shared" si="5"/>
      </x:c>
      <x:c r="L144" s="181" t="str">
        <x:f>IF($C144="","",IFERROR(IF(INDEX(Catalogo!$H$5:$H$86,MATCH($C144,Catalogo!$A$5:$A$86,0))="","",INDEX(Catalogo!$H$5:$H$86,MATCH($C144,Catalogo!$A$5:$A$86,0))),""))</x:f>
      </x:c>
      <x:c r="M144" s="176" t="str">
        <x:f>IF(OR($B144="",$L144=""),"",IFERROR(IF(INDEX(Obras!$H$5:$H$19,MATCH($B144,Obras!$A$5:$A$19,0))="","",IF(INDEX(Obras!$H$5:$H$19,MATCH($B144,Obras!$A$5:$A$19,0))&gt;$L144,"VENCIDA",IF($L144-INDEX(Obras!$H$5:$H$19,MATCH($B144,Obras!$A$5:$A$19,0))&lt;=0.5,"VENCE EM ATÉ 6 MESES","VIGENTE"))),""))</x:f>
      </x:c>
      <x:c r="N144" s="268"/>
    </x:row>
    <x:row r="145" ht="30" customHeight="1">
      <x:c r="A145" s="176" t="str">
        <x:f>IF(OR($B145="",$C145=""),"","LC-"&amp;TEXT(141,"0000"))</x:f>
      </x:c>
      <x:c r="B145" s="259"/>
      <x:c r="C145" s="259"/>
      <x:c r="D145" s="271" t="str">
        <x:f>IF($B145="","",IFERROR(IF(INDEX(Obras!$G$5:$G$19,MATCH($B145,Obras!$A$5:$A$19,0))="","",INDEX(Obras!$G$5:$G$19,MATCH($B145,Obras!$A$5:$A$19,0))),""))</x:f>
      </x:c>
      <x:c r="E145" s="259"/>
      <x:c r="F145" s="268"/>
      <x:c r="G145" s="259"/>
      <x:c r="H145" s="259"/>
      <x:c r="I145" s="259"/>
      <x:c r="J145" s="181" t="str">
        <x:f t="shared" si="4"/>
      </x:c>
      <x:c r="K145" s="176" t="str">
        <x:f t="shared" si="5"/>
      </x:c>
      <x:c r="L145" s="181" t="str">
        <x:f>IF($C145="","",IFERROR(IF(INDEX(Catalogo!$H$5:$H$86,MATCH($C145,Catalogo!$A$5:$A$86,0))="","",INDEX(Catalogo!$H$5:$H$86,MATCH($C145,Catalogo!$A$5:$A$86,0))),""))</x:f>
      </x:c>
      <x:c r="M145" s="176" t="str">
        <x:f>IF(OR($B145="",$L145=""),"",IFERROR(IF(INDEX(Obras!$H$5:$H$19,MATCH($B145,Obras!$A$5:$A$19,0))="","",IF(INDEX(Obras!$H$5:$H$19,MATCH($B145,Obras!$A$5:$A$19,0))&gt;$L145,"VENCIDA",IF($L145-INDEX(Obras!$H$5:$H$19,MATCH($B145,Obras!$A$5:$A$19,0))&lt;=0.5,"VENCE EM ATÉ 6 MESES","VIGENTE"))),""))</x:f>
      </x:c>
      <x:c r="N145" s="268"/>
    </x:row>
    <x:row r="146" ht="30" customHeight="1">
      <x:c r="A146" s="176" t="str">
        <x:f>IF(OR($B146="",$C146=""),"","LC-"&amp;TEXT(142,"0000"))</x:f>
      </x:c>
      <x:c r="B146" s="259"/>
      <x:c r="C146" s="259"/>
      <x:c r="D146" s="271" t="str">
        <x:f>IF($B146="","",IFERROR(IF(INDEX(Obras!$G$5:$G$19,MATCH($B146,Obras!$A$5:$A$19,0))="","",INDEX(Obras!$G$5:$G$19,MATCH($B146,Obras!$A$5:$A$19,0))),""))</x:f>
      </x:c>
      <x:c r="E146" s="259"/>
      <x:c r="F146" s="268"/>
      <x:c r="G146" s="259"/>
      <x:c r="H146" s="259"/>
      <x:c r="I146" s="259"/>
      <x:c r="J146" s="181" t="str">
        <x:f t="shared" si="4"/>
      </x:c>
      <x:c r="K146" s="176" t="str">
        <x:f t="shared" si="5"/>
      </x:c>
      <x:c r="L146" s="181" t="str">
        <x:f>IF($C146="","",IFERROR(IF(INDEX(Catalogo!$H$5:$H$86,MATCH($C146,Catalogo!$A$5:$A$86,0))="","",INDEX(Catalogo!$H$5:$H$86,MATCH($C146,Catalogo!$A$5:$A$86,0))),""))</x:f>
      </x:c>
      <x:c r="M146" s="176" t="str">
        <x:f>IF(OR($B146="",$L146=""),"",IFERROR(IF(INDEX(Obras!$H$5:$H$19,MATCH($B146,Obras!$A$5:$A$19,0))="","",IF(INDEX(Obras!$H$5:$H$19,MATCH($B146,Obras!$A$5:$A$19,0))&gt;$L146,"VENCIDA",IF($L146-INDEX(Obras!$H$5:$H$19,MATCH($B146,Obras!$A$5:$A$19,0))&lt;=0.5,"VENCE EM ATÉ 6 MESES","VIGENTE"))),""))</x:f>
      </x:c>
      <x:c r="N146" s="268"/>
    </x:row>
    <x:row r="147" ht="30" customHeight="1">
      <x:c r="A147" s="176" t="str">
        <x:f>IF(OR($B147="",$C147=""),"","LC-"&amp;TEXT(143,"0000"))</x:f>
      </x:c>
      <x:c r="B147" s="259"/>
      <x:c r="C147" s="259"/>
      <x:c r="D147" s="271" t="str">
        <x:f>IF($B147="","",IFERROR(IF(INDEX(Obras!$G$5:$G$19,MATCH($B147,Obras!$A$5:$A$19,0))="","",INDEX(Obras!$G$5:$G$19,MATCH($B147,Obras!$A$5:$A$19,0))),""))</x:f>
      </x:c>
      <x:c r="E147" s="259"/>
      <x:c r="F147" s="268"/>
      <x:c r="G147" s="259"/>
      <x:c r="H147" s="259"/>
      <x:c r="I147" s="259"/>
      <x:c r="J147" s="181" t="str">
        <x:f t="shared" si="4"/>
      </x:c>
      <x:c r="K147" s="176" t="str">
        <x:f t="shared" si="5"/>
      </x:c>
      <x:c r="L147" s="181" t="str">
        <x:f>IF($C147="","",IFERROR(IF(INDEX(Catalogo!$H$5:$H$86,MATCH($C147,Catalogo!$A$5:$A$86,0))="","",INDEX(Catalogo!$H$5:$H$86,MATCH($C147,Catalogo!$A$5:$A$86,0))),""))</x:f>
      </x:c>
      <x:c r="M147" s="176" t="str">
        <x:f>IF(OR($B147="",$L147=""),"",IFERROR(IF(INDEX(Obras!$H$5:$H$19,MATCH($B147,Obras!$A$5:$A$19,0))="","",IF(INDEX(Obras!$H$5:$H$19,MATCH($B147,Obras!$A$5:$A$19,0))&gt;$L147,"VENCIDA",IF($L147-INDEX(Obras!$H$5:$H$19,MATCH($B147,Obras!$A$5:$A$19,0))&lt;=0.5,"VENCE EM ATÉ 6 MESES","VIGENTE"))),""))</x:f>
      </x:c>
      <x:c r="N147" s="268"/>
    </x:row>
    <x:row r="148" ht="30" customHeight="1">
      <x:c r="A148" s="176" t="str">
        <x:f>IF(OR($B148="",$C148=""),"","LC-"&amp;TEXT(144,"0000"))</x:f>
      </x:c>
      <x:c r="B148" s="259"/>
      <x:c r="C148" s="259"/>
      <x:c r="D148" s="271" t="str">
        <x:f>IF($B148="","",IFERROR(IF(INDEX(Obras!$G$5:$G$19,MATCH($B148,Obras!$A$5:$A$19,0))="","",INDEX(Obras!$G$5:$G$19,MATCH($B148,Obras!$A$5:$A$19,0))),""))</x:f>
      </x:c>
      <x:c r="E148" s="259"/>
      <x:c r="F148" s="268"/>
      <x:c r="G148" s="259"/>
      <x:c r="H148" s="259"/>
      <x:c r="I148" s="259"/>
      <x:c r="J148" s="181" t="str">
        <x:f t="shared" si="4"/>
      </x:c>
      <x:c r="K148" s="176" t="str">
        <x:f t="shared" si="5"/>
      </x:c>
      <x:c r="L148" s="181" t="str">
        <x:f>IF($C148="","",IFERROR(IF(INDEX(Catalogo!$H$5:$H$86,MATCH($C148,Catalogo!$A$5:$A$86,0))="","",INDEX(Catalogo!$H$5:$H$86,MATCH($C148,Catalogo!$A$5:$A$86,0))),""))</x:f>
      </x:c>
      <x:c r="M148" s="176" t="str">
        <x:f>IF(OR($B148="",$L148=""),"",IFERROR(IF(INDEX(Obras!$H$5:$H$19,MATCH($B148,Obras!$A$5:$A$19,0))="","",IF(INDEX(Obras!$H$5:$H$19,MATCH($B148,Obras!$A$5:$A$19,0))&gt;$L148,"VENCIDA",IF($L148-INDEX(Obras!$H$5:$H$19,MATCH($B148,Obras!$A$5:$A$19,0))&lt;=0.5,"VENCE EM ATÉ 6 MESES","VIGENTE"))),""))</x:f>
      </x:c>
      <x:c r="N148" s="268"/>
    </x:row>
    <x:row r="149" ht="30" customHeight="1">
      <x:c r="A149" s="176" t="str">
        <x:f>IF(OR($B149="",$C149=""),"","LC-"&amp;TEXT(145,"0000"))</x:f>
      </x:c>
      <x:c r="B149" s="259"/>
      <x:c r="C149" s="259"/>
      <x:c r="D149" s="271" t="str">
        <x:f>IF($B149="","",IFERROR(IF(INDEX(Obras!$G$5:$G$19,MATCH($B149,Obras!$A$5:$A$19,0))="","",INDEX(Obras!$G$5:$G$19,MATCH($B149,Obras!$A$5:$A$19,0))),""))</x:f>
      </x:c>
      <x:c r="E149" s="259"/>
      <x:c r="F149" s="268"/>
      <x:c r="G149" s="259"/>
      <x:c r="H149" s="259"/>
      <x:c r="I149" s="259"/>
      <x:c r="J149" s="181" t="str">
        <x:f t="shared" si="4"/>
      </x:c>
      <x:c r="K149" s="176" t="str">
        <x:f t="shared" si="5"/>
      </x:c>
      <x:c r="L149" s="181" t="str">
        <x:f>IF($C149="","",IFERROR(IF(INDEX(Catalogo!$H$5:$H$86,MATCH($C149,Catalogo!$A$5:$A$86,0))="","",INDEX(Catalogo!$H$5:$H$86,MATCH($C149,Catalogo!$A$5:$A$86,0))),""))</x:f>
      </x:c>
      <x:c r="M149" s="176" t="str">
        <x:f>IF(OR($B149="",$L149=""),"",IFERROR(IF(INDEX(Obras!$H$5:$H$19,MATCH($B149,Obras!$A$5:$A$19,0))="","",IF(INDEX(Obras!$H$5:$H$19,MATCH($B149,Obras!$A$5:$A$19,0))&gt;$L149,"VENCIDA",IF($L149-INDEX(Obras!$H$5:$H$19,MATCH($B149,Obras!$A$5:$A$19,0))&lt;=0.5,"VENCE EM ATÉ 6 MESES","VIGENTE"))),""))</x:f>
      </x:c>
      <x:c r="N149" s="268"/>
    </x:row>
    <x:row r="150" ht="30" customHeight="1">
      <x:c r="A150" s="176" t="str">
        <x:f>IF(OR($B150="",$C150=""),"","LC-"&amp;TEXT(146,"0000"))</x:f>
      </x:c>
      <x:c r="B150" s="259"/>
      <x:c r="C150" s="259"/>
      <x:c r="D150" s="271" t="str">
        <x:f>IF($B150="","",IFERROR(IF(INDEX(Obras!$G$5:$G$19,MATCH($B150,Obras!$A$5:$A$19,0))="","",INDEX(Obras!$G$5:$G$19,MATCH($B150,Obras!$A$5:$A$19,0))),""))</x:f>
      </x:c>
      <x:c r="E150" s="259"/>
      <x:c r="F150" s="268"/>
      <x:c r="G150" s="259"/>
      <x:c r="H150" s="259"/>
      <x:c r="I150" s="259"/>
      <x:c r="J150" s="181" t="str">
        <x:f t="shared" si="4"/>
      </x:c>
      <x:c r="K150" s="176" t="str">
        <x:f t="shared" si="5"/>
      </x:c>
      <x:c r="L150" s="181" t="str">
        <x:f>IF($C150="","",IFERROR(IF(INDEX(Catalogo!$H$5:$H$86,MATCH($C150,Catalogo!$A$5:$A$86,0))="","",INDEX(Catalogo!$H$5:$H$86,MATCH($C150,Catalogo!$A$5:$A$86,0))),""))</x:f>
      </x:c>
      <x:c r="M150" s="176" t="str">
        <x:f>IF(OR($B150="",$L150=""),"",IFERROR(IF(INDEX(Obras!$H$5:$H$19,MATCH($B150,Obras!$A$5:$A$19,0))="","",IF(INDEX(Obras!$H$5:$H$19,MATCH($B150,Obras!$A$5:$A$19,0))&gt;$L150,"VENCIDA",IF($L150-INDEX(Obras!$H$5:$H$19,MATCH($B150,Obras!$A$5:$A$19,0))&lt;=0.5,"VENCE EM ATÉ 6 MESES","VIGENTE"))),""))</x:f>
      </x:c>
      <x:c r="N150" s="268"/>
    </x:row>
    <x:row r="151" ht="30" customHeight="1">
      <x:c r="A151" s="176" t="str">
        <x:f>IF(OR($B151="",$C151=""),"","LC-"&amp;TEXT(147,"0000"))</x:f>
      </x:c>
      <x:c r="B151" s="259"/>
      <x:c r="C151" s="259"/>
      <x:c r="D151" s="271" t="str">
        <x:f>IF($B151="","",IFERROR(IF(INDEX(Obras!$G$5:$G$19,MATCH($B151,Obras!$A$5:$A$19,0))="","",INDEX(Obras!$G$5:$G$19,MATCH($B151,Obras!$A$5:$A$19,0))),""))</x:f>
      </x:c>
      <x:c r="E151" s="259"/>
      <x:c r="F151" s="268"/>
      <x:c r="G151" s="259"/>
      <x:c r="H151" s="259"/>
      <x:c r="I151" s="259"/>
      <x:c r="J151" s="181" t="str">
        <x:f t="shared" si="4"/>
      </x:c>
      <x:c r="K151" s="176" t="str">
        <x:f t="shared" si="5"/>
      </x:c>
      <x:c r="L151" s="181" t="str">
        <x:f>IF($C151="","",IFERROR(IF(INDEX(Catalogo!$H$5:$H$86,MATCH($C151,Catalogo!$A$5:$A$86,0))="","",INDEX(Catalogo!$H$5:$H$86,MATCH($C151,Catalogo!$A$5:$A$86,0))),""))</x:f>
      </x:c>
      <x:c r="M151" s="176" t="str">
        <x:f>IF(OR($B151="",$L151=""),"",IFERROR(IF(INDEX(Obras!$H$5:$H$19,MATCH($B151,Obras!$A$5:$A$19,0))="","",IF(INDEX(Obras!$H$5:$H$19,MATCH($B151,Obras!$A$5:$A$19,0))&gt;$L151,"VENCIDA",IF($L151-INDEX(Obras!$H$5:$H$19,MATCH($B151,Obras!$A$5:$A$19,0))&lt;=0.5,"VENCE EM ATÉ 6 MESES","VIGENTE"))),""))</x:f>
      </x:c>
      <x:c r="N151" s="268"/>
    </x:row>
    <x:row r="152" ht="30" customHeight="1">
      <x:c r="A152" s="176" t="str">
        <x:f>IF(OR($B152="",$C152=""),"","LC-"&amp;TEXT(148,"0000"))</x:f>
      </x:c>
      <x:c r="B152" s="259"/>
      <x:c r="C152" s="259"/>
      <x:c r="D152" s="271" t="str">
        <x:f>IF($B152="","",IFERROR(IF(INDEX(Obras!$G$5:$G$19,MATCH($B152,Obras!$A$5:$A$19,0))="","",INDEX(Obras!$G$5:$G$19,MATCH($B152,Obras!$A$5:$A$19,0))),""))</x:f>
      </x:c>
      <x:c r="E152" s="259"/>
      <x:c r="F152" s="268"/>
      <x:c r="G152" s="259"/>
      <x:c r="H152" s="259"/>
      <x:c r="I152" s="259"/>
      <x:c r="J152" s="181" t="str">
        <x:f t="shared" si="4"/>
      </x:c>
      <x:c r="K152" s="176" t="str">
        <x:f t="shared" si="5"/>
      </x:c>
      <x:c r="L152" s="181" t="str">
        <x:f>IF($C152="","",IFERROR(IF(INDEX(Catalogo!$H$5:$H$86,MATCH($C152,Catalogo!$A$5:$A$86,0))="","",INDEX(Catalogo!$H$5:$H$86,MATCH($C152,Catalogo!$A$5:$A$86,0))),""))</x:f>
      </x:c>
      <x:c r="M152" s="176" t="str">
        <x:f>IF(OR($B152="",$L152=""),"",IFERROR(IF(INDEX(Obras!$H$5:$H$19,MATCH($B152,Obras!$A$5:$A$19,0))="","",IF(INDEX(Obras!$H$5:$H$19,MATCH($B152,Obras!$A$5:$A$19,0))&gt;$L152,"VENCIDA",IF($L152-INDEX(Obras!$H$5:$H$19,MATCH($B152,Obras!$A$5:$A$19,0))&lt;=0.5,"VENCE EM ATÉ 6 MESES","VIGENTE"))),""))</x:f>
      </x:c>
      <x:c r="N152" s="268"/>
    </x:row>
    <x:row r="153" ht="30" customHeight="1">
      <x:c r="A153" s="176" t="str">
        <x:f>IF(OR($B153="",$C153=""),"","LC-"&amp;TEXT(149,"0000"))</x:f>
      </x:c>
      <x:c r="B153" s="259"/>
      <x:c r="C153" s="259"/>
      <x:c r="D153" s="271" t="str">
        <x:f>IF($B153="","",IFERROR(IF(INDEX(Obras!$G$5:$G$19,MATCH($B153,Obras!$A$5:$A$19,0))="","",INDEX(Obras!$G$5:$G$19,MATCH($B153,Obras!$A$5:$A$19,0))),""))</x:f>
      </x:c>
      <x:c r="E153" s="259"/>
      <x:c r="F153" s="268"/>
      <x:c r="G153" s="259"/>
      <x:c r="H153" s="259"/>
      <x:c r="I153" s="259"/>
      <x:c r="J153" s="181" t="str">
        <x:f t="shared" si="4"/>
      </x:c>
      <x:c r="K153" s="176" t="str">
        <x:f t="shared" si="5"/>
      </x:c>
      <x:c r="L153" s="181" t="str">
        <x:f>IF($C153="","",IFERROR(IF(INDEX(Catalogo!$H$5:$H$86,MATCH($C153,Catalogo!$A$5:$A$86,0))="","",INDEX(Catalogo!$H$5:$H$86,MATCH($C153,Catalogo!$A$5:$A$86,0))),""))</x:f>
      </x:c>
      <x:c r="M153" s="176" t="str">
        <x:f>IF(OR($B153="",$L153=""),"",IFERROR(IF(INDEX(Obras!$H$5:$H$19,MATCH($B153,Obras!$A$5:$A$19,0))="","",IF(INDEX(Obras!$H$5:$H$19,MATCH($B153,Obras!$A$5:$A$19,0))&gt;$L153,"VENCIDA",IF($L153-INDEX(Obras!$H$5:$H$19,MATCH($B153,Obras!$A$5:$A$19,0))&lt;=0.5,"VENCE EM ATÉ 6 MESES","VIGENTE"))),""))</x:f>
      </x:c>
      <x:c r="N153" s="268"/>
    </x:row>
    <x:row r="154" ht="30" customHeight="1">
      <x:c r="A154" s="176" t="str">
        <x:f>IF(OR($B154="",$C154=""),"","LC-"&amp;TEXT(150,"0000"))</x:f>
      </x:c>
      <x:c r="B154" s="259"/>
      <x:c r="C154" s="259"/>
      <x:c r="D154" s="271" t="str">
        <x:f>IF($B154="","",IFERROR(IF(INDEX(Obras!$G$5:$G$19,MATCH($B154,Obras!$A$5:$A$19,0))="","",INDEX(Obras!$G$5:$G$19,MATCH($B154,Obras!$A$5:$A$19,0))),""))</x:f>
      </x:c>
      <x:c r="E154" s="259"/>
      <x:c r="F154" s="268"/>
      <x:c r="G154" s="259"/>
      <x:c r="H154" s="259"/>
      <x:c r="I154" s="259"/>
      <x:c r="J154" s="181" t="str">
        <x:f t="shared" si="4"/>
      </x:c>
      <x:c r="K154" s="176" t="str">
        <x:f t="shared" si="5"/>
      </x:c>
      <x:c r="L154" s="181" t="str">
        <x:f>IF($C154="","",IFERROR(IF(INDEX(Catalogo!$H$5:$H$86,MATCH($C154,Catalogo!$A$5:$A$86,0))="","",INDEX(Catalogo!$H$5:$H$86,MATCH($C154,Catalogo!$A$5:$A$86,0))),""))</x:f>
      </x:c>
      <x:c r="M154" s="176" t="str">
        <x:f>IF(OR($B154="",$L154=""),"",IFERROR(IF(INDEX(Obras!$H$5:$H$19,MATCH($B154,Obras!$A$5:$A$19,0))="","",IF(INDEX(Obras!$H$5:$H$19,MATCH($B154,Obras!$A$5:$A$19,0))&gt;$L154,"VENCIDA",IF($L154-INDEX(Obras!$H$5:$H$19,MATCH($B154,Obras!$A$5:$A$19,0))&lt;=0.5,"VENCE EM ATÉ 6 MESES","VIGENTE"))),""))</x:f>
      </x:c>
      <x:c r="N154" s="268"/>
    </x:row>
    <x:row r="155" ht="30" customHeight="1">
      <x:c r="A155" s="176" t="str">
        <x:f>IF(OR($B155="",$C155=""),"","LC-"&amp;TEXT(151,"0000"))</x:f>
      </x:c>
      <x:c r="B155" s="259"/>
      <x:c r="C155" s="259"/>
      <x:c r="D155" s="271" t="str">
        <x:f>IF($B155="","",IFERROR(IF(INDEX(Obras!$G$5:$G$19,MATCH($B155,Obras!$A$5:$A$19,0))="","",INDEX(Obras!$G$5:$G$19,MATCH($B155,Obras!$A$5:$A$19,0))),""))</x:f>
      </x:c>
      <x:c r="E155" s="259"/>
      <x:c r="F155" s="268"/>
      <x:c r="G155" s="259"/>
      <x:c r="H155" s="259"/>
      <x:c r="I155" s="259"/>
      <x:c r="J155" s="181" t="str">
        <x:f t="shared" si="4"/>
      </x:c>
      <x:c r="K155" s="176" t="str">
        <x:f t="shared" si="5"/>
      </x:c>
      <x:c r="L155" s="181" t="str">
        <x:f>IF($C155="","",IFERROR(IF(INDEX(Catalogo!$H$5:$H$86,MATCH($C155,Catalogo!$A$5:$A$86,0))="","",INDEX(Catalogo!$H$5:$H$86,MATCH($C155,Catalogo!$A$5:$A$86,0))),""))</x:f>
      </x:c>
      <x:c r="M155" s="176" t="str">
        <x:f>IF(OR($B155="",$L155=""),"",IFERROR(IF(INDEX(Obras!$H$5:$H$19,MATCH($B155,Obras!$A$5:$A$19,0))="","",IF(INDEX(Obras!$H$5:$H$19,MATCH($B155,Obras!$A$5:$A$19,0))&gt;$L155,"VENCIDA",IF($L155-INDEX(Obras!$H$5:$H$19,MATCH($B155,Obras!$A$5:$A$19,0))&lt;=0.5,"VENCE EM ATÉ 6 MESES","VIGENTE"))),""))</x:f>
      </x:c>
      <x:c r="N155" s="268"/>
    </x:row>
    <x:row r="156" ht="30" customHeight="1">
      <x:c r="A156" s="176" t="str">
        <x:f>IF(OR($B156="",$C156=""),"","LC-"&amp;TEXT(152,"0000"))</x:f>
      </x:c>
      <x:c r="B156" s="259"/>
      <x:c r="C156" s="259"/>
      <x:c r="D156" s="271" t="str">
        <x:f>IF($B156="","",IFERROR(IF(INDEX(Obras!$G$5:$G$19,MATCH($B156,Obras!$A$5:$A$19,0))="","",INDEX(Obras!$G$5:$G$19,MATCH($B156,Obras!$A$5:$A$19,0))),""))</x:f>
      </x:c>
      <x:c r="E156" s="259"/>
      <x:c r="F156" s="268"/>
      <x:c r="G156" s="259"/>
      <x:c r="H156" s="259"/>
      <x:c r="I156" s="259"/>
      <x:c r="J156" s="181" t="str">
        <x:f t="shared" si="4"/>
      </x:c>
      <x:c r="K156" s="176" t="str">
        <x:f t="shared" si="5"/>
      </x:c>
      <x:c r="L156" s="181" t="str">
        <x:f>IF($C156="","",IFERROR(IF(INDEX(Catalogo!$H$5:$H$86,MATCH($C156,Catalogo!$A$5:$A$86,0))="","",INDEX(Catalogo!$H$5:$H$86,MATCH($C156,Catalogo!$A$5:$A$86,0))),""))</x:f>
      </x:c>
      <x:c r="M156" s="176" t="str">
        <x:f>IF(OR($B156="",$L156=""),"",IFERROR(IF(INDEX(Obras!$H$5:$H$19,MATCH($B156,Obras!$A$5:$A$19,0))="","",IF(INDEX(Obras!$H$5:$H$19,MATCH($B156,Obras!$A$5:$A$19,0))&gt;$L156,"VENCIDA",IF($L156-INDEX(Obras!$H$5:$H$19,MATCH($B156,Obras!$A$5:$A$19,0))&lt;=0.5,"VENCE EM ATÉ 6 MESES","VIGENTE"))),""))</x:f>
      </x:c>
      <x:c r="N156" s="268"/>
    </x:row>
    <x:row r="157" ht="30" customHeight="1">
      <x:c r="A157" s="176" t="str">
        <x:f>IF(OR($B157="",$C157=""),"","LC-"&amp;TEXT(153,"0000"))</x:f>
      </x:c>
      <x:c r="B157" s="259"/>
      <x:c r="C157" s="259"/>
      <x:c r="D157" s="271" t="str">
        <x:f>IF($B157="","",IFERROR(IF(INDEX(Obras!$G$5:$G$19,MATCH($B157,Obras!$A$5:$A$19,0))="","",INDEX(Obras!$G$5:$G$19,MATCH($B157,Obras!$A$5:$A$19,0))),""))</x:f>
      </x:c>
      <x:c r="E157" s="259"/>
      <x:c r="F157" s="268"/>
      <x:c r="G157" s="259"/>
      <x:c r="H157" s="259"/>
      <x:c r="I157" s="259"/>
      <x:c r="J157" s="181" t="str">
        <x:f t="shared" si="4"/>
      </x:c>
      <x:c r="K157" s="176" t="str">
        <x:f t="shared" si="5"/>
      </x:c>
      <x:c r="L157" s="181" t="str">
        <x:f>IF($C157="","",IFERROR(IF(INDEX(Catalogo!$H$5:$H$86,MATCH($C157,Catalogo!$A$5:$A$86,0))="","",INDEX(Catalogo!$H$5:$H$86,MATCH($C157,Catalogo!$A$5:$A$86,0))),""))</x:f>
      </x:c>
      <x:c r="M157" s="176" t="str">
        <x:f>IF(OR($B157="",$L157=""),"",IFERROR(IF(INDEX(Obras!$H$5:$H$19,MATCH($B157,Obras!$A$5:$A$19,0))="","",IF(INDEX(Obras!$H$5:$H$19,MATCH($B157,Obras!$A$5:$A$19,0))&gt;$L157,"VENCIDA",IF($L157-INDEX(Obras!$H$5:$H$19,MATCH($B157,Obras!$A$5:$A$19,0))&lt;=0.5,"VENCE EM ATÉ 6 MESES","VIGENTE"))),""))</x:f>
      </x:c>
      <x:c r="N157" s="268"/>
    </x:row>
    <x:row r="158" ht="30" customHeight="1">
      <x:c r="A158" s="176" t="str">
        <x:f>IF(OR($B158="",$C158=""),"","LC-"&amp;TEXT(154,"0000"))</x:f>
      </x:c>
      <x:c r="B158" s="259"/>
      <x:c r="C158" s="259"/>
      <x:c r="D158" s="271" t="str">
        <x:f>IF($B158="","",IFERROR(IF(INDEX(Obras!$G$5:$G$19,MATCH($B158,Obras!$A$5:$A$19,0))="","",INDEX(Obras!$G$5:$G$19,MATCH($B158,Obras!$A$5:$A$19,0))),""))</x:f>
      </x:c>
      <x:c r="E158" s="259"/>
      <x:c r="F158" s="268"/>
      <x:c r="G158" s="259"/>
      <x:c r="H158" s="259"/>
      <x:c r="I158" s="259"/>
      <x:c r="J158" s="181" t="str">
        <x:f t="shared" si="4"/>
      </x:c>
      <x:c r="K158" s="176" t="str">
        <x:f t="shared" si="5"/>
      </x:c>
      <x:c r="L158" s="181" t="str">
        <x:f>IF($C158="","",IFERROR(IF(INDEX(Catalogo!$H$5:$H$86,MATCH($C158,Catalogo!$A$5:$A$86,0))="","",INDEX(Catalogo!$H$5:$H$86,MATCH($C158,Catalogo!$A$5:$A$86,0))),""))</x:f>
      </x:c>
      <x:c r="M158" s="176" t="str">
        <x:f>IF(OR($B158="",$L158=""),"",IFERROR(IF(INDEX(Obras!$H$5:$H$19,MATCH($B158,Obras!$A$5:$A$19,0))="","",IF(INDEX(Obras!$H$5:$H$19,MATCH($B158,Obras!$A$5:$A$19,0))&gt;$L158,"VENCIDA",IF($L158-INDEX(Obras!$H$5:$H$19,MATCH($B158,Obras!$A$5:$A$19,0))&lt;=0.5,"VENCE EM ATÉ 6 MESES","VIGENTE"))),""))</x:f>
      </x:c>
      <x:c r="N158" s="268"/>
    </x:row>
    <x:row r="159" ht="30" customHeight="1">
      <x:c r="A159" s="176" t="str">
        <x:f>IF(OR($B159="",$C159=""),"","LC-"&amp;TEXT(155,"0000"))</x:f>
      </x:c>
      <x:c r="B159" s="259"/>
      <x:c r="C159" s="259"/>
      <x:c r="D159" s="271" t="str">
        <x:f>IF($B159="","",IFERROR(IF(INDEX(Obras!$G$5:$G$19,MATCH($B159,Obras!$A$5:$A$19,0))="","",INDEX(Obras!$G$5:$G$19,MATCH($B159,Obras!$A$5:$A$19,0))),""))</x:f>
      </x:c>
      <x:c r="E159" s="259"/>
      <x:c r="F159" s="268"/>
      <x:c r="G159" s="259"/>
      <x:c r="H159" s="259"/>
      <x:c r="I159" s="259"/>
      <x:c r="J159" s="181" t="str">
        <x:f t="shared" si="4"/>
      </x:c>
      <x:c r="K159" s="176" t="str">
        <x:f t="shared" si="5"/>
      </x:c>
      <x:c r="L159" s="181" t="str">
        <x:f>IF($C159="","",IFERROR(IF(INDEX(Catalogo!$H$5:$H$86,MATCH($C159,Catalogo!$A$5:$A$86,0))="","",INDEX(Catalogo!$H$5:$H$86,MATCH($C159,Catalogo!$A$5:$A$86,0))),""))</x:f>
      </x:c>
      <x:c r="M159" s="176" t="str">
        <x:f>IF(OR($B159="",$L159=""),"",IFERROR(IF(INDEX(Obras!$H$5:$H$19,MATCH($B159,Obras!$A$5:$A$19,0))="","",IF(INDEX(Obras!$H$5:$H$19,MATCH($B159,Obras!$A$5:$A$19,0))&gt;$L159,"VENCIDA",IF($L159-INDEX(Obras!$H$5:$H$19,MATCH($B159,Obras!$A$5:$A$19,0))&lt;=0.5,"VENCE EM ATÉ 6 MESES","VIGENTE"))),""))</x:f>
      </x:c>
      <x:c r="N159" s="268"/>
    </x:row>
    <x:row r="160" ht="30" customHeight="1">
      <x:c r="A160" s="176" t="str">
        <x:f>IF(OR($B160="",$C160=""),"","LC-"&amp;TEXT(156,"0000"))</x:f>
      </x:c>
      <x:c r="B160" s="259"/>
      <x:c r="C160" s="259"/>
      <x:c r="D160" s="271" t="str">
        <x:f>IF($B160="","",IFERROR(IF(INDEX(Obras!$G$5:$G$19,MATCH($B160,Obras!$A$5:$A$19,0))="","",INDEX(Obras!$G$5:$G$19,MATCH($B160,Obras!$A$5:$A$19,0))),""))</x:f>
      </x:c>
      <x:c r="E160" s="259"/>
      <x:c r="F160" s="268"/>
      <x:c r="G160" s="259"/>
      <x:c r="H160" s="259"/>
      <x:c r="I160" s="259"/>
      <x:c r="J160" s="181" t="str">
        <x:f t="shared" si="4"/>
      </x:c>
      <x:c r="K160" s="176" t="str">
        <x:f t="shared" si="5"/>
      </x:c>
      <x:c r="L160" s="181" t="str">
        <x:f>IF($C160="","",IFERROR(IF(INDEX(Catalogo!$H$5:$H$86,MATCH($C160,Catalogo!$A$5:$A$86,0))="","",INDEX(Catalogo!$H$5:$H$86,MATCH($C160,Catalogo!$A$5:$A$86,0))),""))</x:f>
      </x:c>
      <x:c r="M160" s="176" t="str">
        <x:f>IF(OR($B160="",$L160=""),"",IFERROR(IF(INDEX(Obras!$H$5:$H$19,MATCH($B160,Obras!$A$5:$A$19,0))="","",IF(INDEX(Obras!$H$5:$H$19,MATCH($B160,Obras!$A$5:$A$19,0))&gt;$L160,"VENCIDA",IF($L160-INDEX(Obras!$H$5:$H$19,MATCH($B160,Obras!$A$5:$A$19,0))&lt;=0.5,"VENCE EM ATÉ 6 MESES","VIGENTE"))),""))</x:f>
      </x:c>
      <x:c r="N160" s="268"/>
    </x:row>
    <x:row r="161" ht="30" customHeight="1">
      <x:c r="A161" s="176" t="str">
        <x:f>IF(OR($B161="",$C161=""),"","LC-"&amp;TEXT(157,"0000"))</x:f>
      </x:c>
      <x:c r="B161" s="259"/>
      <x:c r="C161" s="259"/>
      <x:c r="D161" s="271" t="str">
        <x:f>IF($B161="","",IFERROR(IF(INDEX(Obras!$G$5:$G$19,MATCH($B161,Obras!$A$5:$A$19,0))="","",INDEX(Obras!$G$5:$G$19,MATCH($B161,Obras!$A$5:$A$19,0))),""))</x:f>
      </x:c>
      <x:c r="E161" s="259"/>
      <x:c r="F161" s="268"/>
      <x:c r="G161" s="259"/>
      <x:c r="H161" s="259"/>
      <x:c r="I161" s="259"/>
      <x:c r="J161" s="181" t="str">
        <x:f t="shared" si="4"/>
      </x:c>
      <x:c r="K161" s="176" t="str">
        <x:f t="shared" si="5"/>
      </x:c>
      <x:c r="L161" s="181" t="str">
        <x:f>IF($C161="","",IFERROR(IF(INDEX(Catalogo!$H$5:$H$86,MATCH($C161,Catalogo!$A$5:$A$86,0))="","",INDEX(Catalogo!$H$5:$H$86,MATCH($C161,Catalogo!$A$5:$A$86,0))),""))</x:f>
      </x:c>
      <x:c r="M161" s="176" t="str">
        <x:f>IF(OR($B161="",$L161=""),"",IFERROR(IF(INDEX(Obras!$H$5:$H$19,MATCH($B161,Obras!$A$5:$A$19,0))="","",IF(INDEX(Obras!$H$5:$H$19,MATCH($B161,Obras!$A$5:$A$19,0))&gt;$L161,"VENCIDA",IF($L161-INDEX(Obras!$H$5:$H$19,MATCH($B161,Obras!$A$5:$A$19,0))&lt;=0.5,"VENCE EM ATÉ 6 MESES","VIGENTE"))),""))</x:f>
      </x:c>
      <x:c r="N161" s="268"/>
    </x:row>
    <x:row r="162" ht="30" customHeight="1">
      <x:c r="A162" s="176" t="str">
        <x:f>IF(OR($B162="",$C162=""),"","LC-"&amp;TEXT(158,"0000"))</x:f>
      </x:c>
      <x:c r="B162" s="259"/>
      <x:c r="C162" s="259"/>
      <x:c r="D162" s="271" t="str">
        <x:f>IF($B162="","",IFERROR(IF(INDEX(Obras!$G$5:$G$19,MATCH($B162,Obras!$A$5:$A$19,0))="","",INDEX(Obras!$G$5:$G$19,MATCH($B162,Obras!$A$5:$A$19,0))),""))</x:f>
      </x:c>
      <x:c r="E162" s="259"/>
      <x:c r="F162" s="268"/>
      <x:c r="G162" s="259"/>
      <x:c r="H162" s="259"/>
      <x:c r="I162" s="259"/>
      <x:c r="J162" s="181" t="str">
        <x:f t="shared" si="4"/>
      </x:c>
      <x:c r="K162" s="176" t="str">
        <x:f t="shared" si="5"/>
      </x:c>
      <x:c r="L162" s="181" t="str">
        <x:f>IF($C162="","",IFERROR(IF(INDEX(Catalogo!$H$5:$H$86,MATCH($C162,Catalogo!$A$5:$A$86,0))="","",INDEX(Catalogo!$H$5:$H$86,MATCH($C162,Catalogo!$A$5:$A$86,0))),""))</x:f>
      </x:c>
      <x:c r="M162" s="176" t="str">
        <x:f>IF(OR($B162="",$L162=""),"",IFERROR(IF(INDEX(Obras!$H$5:$H$19,MATCH($B162,Obras!$A$5:$A$19,0))="","",IF(INDEX(Obras!$H$5:$H$19,MATCH($B162,Obras!$A$5:$A$19,0))&gt;$L162,"VENCIDA",IF($L162-INDEX(Obras!$H$5:$H$19,MATCH($B162,Obras!$A$5:$A$19,0))&lt;=0.5,"VENCE EM ATÉ 6 MESES","VIGENTE"))),""))</x:f>
      </x:c>
      <x:c r="N162" s="268"/>
    </x:row>
    <x:row r="163" ht="30" customHeight="1">
      <x:c r="A163" s="176" t="str">
        <x:f>IF(OR($B163="",$C163=""),"","LC-"&amp;TEXT(159,"0000"))</x:f>
      </x:c>
      <x:c r="B163" s="259"/>
      <x:c r="C163" s="259"/>
      <x:c r="D163" s="271" t="str">
        <x:f>IF($B163="","",IFERROR(IF(INDEX(Obras!$G$5:$G$19,MATCH($B163,Obras!$A$5:$A$19,0))="","",INDEX(Obras!$G$5:$G$19,MATCH($B163,Obras!$A$5:$A$19,0))),""))</x:f>
      </x:c>
      <x:c r="E163" s="259"/>
      <x:c r="F163" s="268"/>
      <x:c r="G163" s="259"/>
      <x:c r="H163" s="259"/>
      <x:c r="I163" s="259"/>
      <x:c r="J163" s="181" t="str">
        <x:f t="shared" si="4"/>
      </x:c>
      <x:c r="K163" s="176" t="str">
        <x:f t="shared" si="5"/>
      </x:c>
      <x:c r="L163" s="181" t="str">
        <x:f>IF($C163="","",IFERROR(IF(INDEX(Catalogo!$H$5:$H$86,MATCH($C163,Catalogo!$A$5:$A$86,0))="","",INDEX(Catalogo!$H$5:$H$86,MATCH($C163,Catalogo!$A$5:$A$86,0))),""))</x:f>
      </x:c>
      <x:c r="M163" s="176" t="str">
        <x:f>IF(OR($B163="",$L163=""),"",IFERROR(IF(INDEX(Obras!$H$5:$H$19,MATCH($B163,Obras!$A$5:$A$19,0))="","",IF(INDEX(Obras!$H$5:$H$19,MATCH($B163,Obras!$A$5:$A$19,0))&gt;$L163,"VENCIDA",IF($L163-INDEX(Obras!$H$5:$H$19,MATCH($B163,Obras!$A$5:$A$19,0))&lt;=0.5,"VENCE EM ATÉ 6 MESES","VIGENTE"))),""))</x:f>
      </x:c>
      <x:c r="N163" s="268"/>
    </x:row>
    <x:row r="164" ht="30" customHeight="1">
      <x:c r="A164" s="176" t="str">
        <x:f>IF(OR($B164="",$C164=""),"","LC-"&amp;TEXT(160,"0000"))</x:f>
      </x:c>
      <x:c r="B164" s="259"/>
      <x:c r="C164" s="259"/>
      <x:c r="D164" s="271" t="str">
        <x:f>IF($B164="","",IFERROR(IF(INDEX(Obras!$G$5:$G$19,MATCH($B164,Obras!$A$5:$A$19,0))="","",INDEX(Obras!$G$5:$G$19,MATCH($B164,Obras!$A$5:$A$19,0))),""))</x:f>
      </x:c>
      <x:c r="E164" s="259"/>
      <x:c r="F164" s="268"/>
      <x:c r="G164" s="259"/>
      <x:c r="H164" s="259"/>
      <x:c r="I164" s="259"/>
      <x:c r="J164" s="181" t="str">
        <x:f t="shared" si="4"/>
      </x:c>
      <x:c r="K164" s="176" t="str">
        <x:f t="shared" si="5"/>
      </x:c>
      <x:c r="L164" s="181" t="str">
        <x:f>IF($C164="","",IFERROR(IF(INDEX(Catalogo!$H$5:$H$86,MATCH($C164,Catalogo!$A$5:$A$86,0))="","",INDEX(Catalogo!$H$5:$H$86,MATCH($C164,Catalogo!$A$5:$A$86,0))),""))</x:f>
      </x:c>
      <x:c r="M164" s="176" t="str">
        <x:f>IF(OR($B164="",$L164=""),"",IFERROR(IF(INDEX(Obras!$H$5:$H$19,MATCH($B164,Obras!$A$5:$A$19,0))="","",IF(INDEX(Obras!$H$5:$H$19,MATCH($B164,Obras!$A$5:$A$19,0))&gt;$L164,"VENCIDA",IF($L164-INDEX(Obras!$H$5:$H$19,MATCH($B164,Obras!$A$5:$A$19,0))&lt;=0.5,"VENCE EM ATÉ 6 MESES","VIGENTE"))),""))</x:f>
      </x:c>
      <x:c r="N164" s="268"/>
    </x:row>
    <x:row r="165" ht="30" customHeight="1">
      <x:c r="A165" s="176" t="str">
        <x:f>IF(OR($B165="",$C165=""),"","LC-"&amp;TEXT(161,"0000"))</x:f>
      </x:c>
      <x:c r="B165" s="259"/>
      <x:c r="C165" s="259"/>
      <x:c r="D165" s="271" t="str">
        <x:f>IF($B165="","",IFERROR(IF(INDEX(Obras!$G$5:$G$19,MATCH($B165,Obras!$A$5:$A$19,0))="","",INDEX(Obras!$G$5:$G$19,MATCH($B165,Obras!$A$5:$A$19,0))),""))</x:f>
      </x:c>
      <x:c r="E165" s="259"/>
      <x:c r="F165" s="268"/>
      <x:c r="G165" s="259"/>
      <x:c r="H165" s="259"/>
      <x:c r="I165" s="259"/>
      <x:c r="J165" s="181" t="str">
        <x:f t="shared" si="4"/>
      </x:c>
      <x:c r="K165" s="176" t="str">
        <x:f t="shared" si="5"/>
      </x:c>
      <x:c r="L165" s="181" t="str">
        <x:f>IF($C165="","",IFERROR(IF(INDEX(Catalogo!$H$5:$H$86,MATCH($C165,Catalogo!$A$5:$A$86,0))="","",INDEX(Catalogo!$H$5:$H$86,MATCH($C165,Catalogo!$A$5:$A$86,0))),""))</x:f>
      </x:c>
      <x:c r="M165" s="176" t="str">
        <x:f>IF(OR($B165="",$L165=""),"",IFERROR(IF(INDEX(Obras!$H$5:$H$19,MATCH($B165,Obras!$A$5:$A$19,0))="","",IF(INDEX(Obras!$H$5:$H$19,MATCH($B165,Obras!$A$5:$A$19,0))&gt;$L165,"VENCIDA",IF($L165-INDEX(Obras!$H$5:$H$19,MATCH($B165,Obras!$A$5:$A$19,0))&lt;=0.5,"VENCE EM ATÉ 6 MESES","VIGENTE"))),""))</x:f>
      </x:c>
      <x:c r="N165" s="268"/>
    </x:row>
    <x:row r="166" ht="30" customHeight="1">
      <x:c r="A166" s="176" t="str">
        <x:f>IF(OR($B166="",$C166=""),"","LC-"&amp;TEXT(162,"0000"))</x:f>
      </x:c>
      <x:c r="B166" s="259"/>
      <x:c r="C166" s="259"/>
      <x:c r="D166" s="271" t="str">
        <x:f>IF($B166="","",IFERROR(IF(INDEX(Obras!$G$5:$G$19,MATCH($B166,Obras!$A$5:$A$19,0))="","",INDEX(Obras!$G$5:$G$19,MATCH($B166,Obras!$A$5:$A$19,0))),""))</x:f>
      </x:c>
      <x:c r="E166" s="259"/>
      <x:c r="F166" s="268"/>
      <x:c r="G166" s="259"/>
      <x:c r="H166" s="259"/>
      <x:c r="I166" s="259"/>
      <x:c r="J166" s="181" t="str">
        <x:f t="shared" si="4"/>
      </x:c>
      <x:c r="K166" s="176" t="str">
        <x:f t="shared" si="5"/>
      </x:c>
      <x:c r="L166" s="181" t="str">
        <x:f>IF($C166="","",IFERROR(IF(INDEX(Catalogo!$H$5:$H$86,MATCH($C166,Catalogo!$A$5:$A$86,0))="","",INDEX(Catalogo!$H$5:$H$86,MATCH($C166,Catalogo!$A$5:$A$86,0))),""))</x:f>
      </x:c>
      <x:c r="M166" s="176" t="str">
        <x:f>IF(OR($B166="",$L166=""),"",IFERROR(IF(INDEX(Obras!$H$5:$H$19,MATCH($B166,Obras!$A$5:$A$19,0))="","",IF(INDEX(Obras!$H$5:$H$19,MATCH($B166,Obras!$A$5:$A$19,0))&gt;$L166,"VENCIDA",IF($L166-INDEX(Obras!$H$5:$H$19,MATCH($B166,Obras!$A$5:$A$19,0))&lt;=0.5,"VENCE EM ATÉ 6 MESES","VIGENTE"))),""))</x:f>
      </x:c>
      <x:c r="N166" s="268"/>
    </x:row>
    <x:row r="167" ht="30" customHeight="1">
      <x:c r="A167" s="176" t="str">
        <x:f>IF(OR($B167="",$C167=""),"","LC-"&amp;TEXT(163,"0000"))</x:f>
      </x:c>
      <x:c r="B167" s="259"/>
      <x:c r="C167" s="259"/>
      <x:c r="D167" s="271" t="str">
        <x:f>IF($B167="","",IFERROR(IF(INDEX(Obras!$G$5:$G$19,MATCH($B167,Obras!$A$5:$A$19,0))="","",INDEX(Obras!$G$5:$G$19,MATCH($B167,Obras!$A$5:$A$19,0))),""))</x:f>
      </x:c>
      <x:c r="E167" s="259"/>
      <x:c r="F167" s="268"/>
      <x:c r="G167" s="259"/>
      <x:c r="H167" s="259"/>
      <x:c r="I167" s="259"/>
      <x:c r="J167" s="181" t="str">
        <x:f t="shared" si="4"/>
      </x:c>
      <x:c r="K167" s="176" t="str">
        <x:f t="shared" si="5"/>
      </x:c>
      <x:c r="L167" s="181" t="str">
        <x:f>IF($C167="","",IFERROR(IF(INDEX(Catalogo!$H$5:$H$86,MATCH($C167,Catalogo!$A$5:$A$86,0))="","",INDEX(Catalogo!$H$5:$H$86,MATCH($C167,Catalogo!$A$5:$A$86,0))),""))</x:f>
      </x:c>
      <x:c r="M167" s="176" t="str">
        <x:f>IF(OR($B167="",$L167=""),"",IFERROR(IF(INDEX(Obras!$H$5:$H$19,MATCH($B167,Obras!$A$5:$A$19,0))="","",IF(INDEX(Obras!$H$5:$H$19,MATCH($B167,Obras!$A$5:$A$19,0))&gt;$L167,"VENCIDA",IF($L167-INDEX(Obras!$H$5:$H$19,MATCH($B167,Obras!$A$5:$A$19,0))&lt;=0.5,"VENCE EM ATÉ 6 MESES","VIGENTE"))),""))</x:f>
      </x:c>
      <x:c r="N167" s="268"/>
    </x:row>
    <x:row r="168" ht="30" customHeight="1">
      <x:c r="A168" s="176" t="str">
        <x:f>IF(OR($B168="",$C168=""),"","LC-"&amp;TEXT(164,"0000"))</x:f>
      </x:c>
      <x:c r="B168" s="259"/>
      <x:c r="C168" s="259"/>
      <x:c r="D168" s="271" t="str">
        <x:f>IF($B168="","",IFERROR(IF(INDEX(Obras!$G$5:$G$19,MATCH($B168,Obras!$A$5:$A$19,0))="","",INDEX(Obras!$G$5:$G$19,MATCH($B168,Obras!$A$5:$A$19,0))),""))</x:f>
      </x:c>
      <x:c r="E168" s="259"/>
      <x:c r="F168" s="268"/>
      <x:c r="G168" s="259"/>
      <x:c r="H168" s="259"/>
      <x:c r="I168" s="259"/>
      <x:c r="J168" s="181" t="str">
        <x:f t="shared" si="4"/>
      </x:c>
      <x:c r="K168" s="176" t="str">
        <x:f t="shared" si="5"/>
      </x:c>
      <x:c r="L168" s="181" t="str">
        <x:f>IF($C168="","",IFERROR(IF(INDEX(Catalogo!$H$5:$H$86,MATCH($C168,Catalogo!$A$5:$A$86,0))="","",INDEX(Catalogo!$H$5:$H$86,MATCH($C168,Catalogo!$A$5:$A$86,0))),""))</x:f>
      </x:c>
      <x:c r="M168" s="176" t="str">
        <x:f>IF(OR($B168="",$L168=""),"",IFERROR(IF(INDEX(Obras!$H$5:$H$19,MATCH($B168,Obras!$A$5:$A$19,0))="","",IF(INDEX(Obras!$H$5:$H$19,MATCH($B168,Obras!$A$5:$A$19,0))&gt;$L168,"VENCIDA",IF($L168-INDEX(Obras!$H$5:$H$19,MATCH($B168,Obras!$A$5:$A$19,0))&lt;=0.5,"VENCE EM ATÉ 6 MESES","VIGENTE"))),""))</x:f>
      </x:c>
      <x:c r="N168" s="268"/>
    </x:row>
    <x:row r="169" ht="30" customHeight="1">
      <x:c r="A169" s="176" t="str">
        <x:f>IF(OR($B169="",$C169=""),"","LC-"&amp;TEXT(165,"0000"))</x:f>
      </x:c>
      <x:c r="B169" s="259"/>
      <x:c r="C169" s="259"/>
      <x:c r="D169" s="271" t="str">
        <x:f>IF($B169="","",IFERROR(IF(INDEX(Obras!$G$5:$G$19,MATCH($B169,Obras!$A$5:$A$19,0))="","",INDEX(Obras!$G$5:$G$19,MATCH($B169,Obras!$A$5:$A$19,0))),""))</x:f>
      </x:c>
      <x:c r="E169" s="259"/>
      <x:c r="F169" s="268"/>
      <x:c r="G169" s="259"/>
      <x:c r="H169" s="259"/>
      <x:c r="I169" s="259"/>
      <x:c r="J169" s="181" t="str">
        <x:f t="shared" si="4"/>
      </x:c>
      <x:c r="K169" s="176" t="str">
        <x:f t="shared" si="5"/>
      </x:c>
      <x:c r="L169" s="181" t="str">
        <x:f>IF($C169="","",IFERROR(IF(INDEX(Catalogo!$H$5:$H$86,MATCH($C169,Catalogo!$A$5:$A$86,0))="","",INDEX(Catalogo!$H$5:$H$86,MATCH($C169,Catalogo!$A$5:$A$86,0))),""))</x:f>
      </x:c>
      <x:c r="M169" s="176" t="str">
        <x:f>IF(OR($B169="",$L169=""),"",IFERROR(IF(INDEX(Obras!$H$5:$H$19,MATCH($B169,Obras!$A$5:$A$19,0))="","",IF(INDEX(Obras!$H$5:$H$19,MATCH($B169,Obras!$A$5:$A$19,0))&gt;$L169,"VENCIDA",IF($L169-INDEX(Obras!$H$5:$H$19,MATCH($B169,Obras!$A$5:$A$19,0))&lt;=0.5,"VENCE EM ATÉ 6 MESES","VIGENTE"))),""))</x:f>
      </x:c>
      <x:c r="N169" s="268"/>
    </x:row>
    <x:row r="170" ht="30" customHeight="1">
      <x:c r="A170" s="176" t="str">
        <x:f>IF(OR($B170="",$C170=""),"","LC-"&amp;TEXT(166,"0000"))</x:f>
      </x:c>
      <x:c r="B170" s="259"/>
      <x:c r="C170" s="259"/>
      <x:c r="D170" s="271" t="str">
        <x:f>IF($B170="","",IFERROR(IF(INDEX(Obras!$G$5:$G$19,MATCH($B170,Obras!$A$5:$A$19,0))="","",INDEX(Obras!$G$5:$G$19,MATCH($B170,Obras!$A$5:$A$19,0))),""))</x:f>
      </x:c>
      <x:c r="E170" s="259"/>
      <x:c r="F170" s="268"/>
      <x:c r="G170" s="259"/>
      <x:c r="H170" s="259"/>
      <x:c r="I170" s="259"/>
      <x:c r="J170" s="181" t="str">
        <x:f t="shared" si="4"/>
      </x:c>
      <x:c r="K170" s="176" t="str">
        <x:f t="shared" si="5"/>
      </x:c>
      <x:c r="L170" s="181" t="str">
        <x:f>IF($C170="","",IFERROR(IF(INDEX(Catalogo!$H$5:$H$86,MATCH($C170,Catalogo!$A$5:$A$86,0))="","",INDEX(Catalogo!$H$5:$H$86,MATCH($C170,Catalogo!$A$5:$A$86,0))),""))</x:f>
      </x:c>
      <x:c r="M170" s="176" t="str">
        <x:f>IF(OR($B170="",$L170=""),"",IFERROR(IF(INDEX(Obras!$H$5:$H$19,MATCH($B170,Obras!$A$5:$A$19,0))="","",IF(INDEX(Obras!$H$5:$H$19,MATCH($B170,Obras!$A$5:$A$19,0))&gt;$L170,"VENCIDA",IF($L170-INDEX(Obras!$H$5:$H$19,MATCH($B170,Obras!$A$5:$A$19,0))&lt;=0.5,"VENCE EM ATÉ 6 MESES","VIGENTE"))),""))</x:f>
      </x:c>
      <x:c r="N170" s="268"/>
    </x:row>
    <x:row r="171" ht="30" customHeight="1">
      <x:c r="A171" s="176" t="str">
        <x:f>IF(OR($B171="",$C171=""),"","LC-"&amp;TEXT(167,"0000"))</x:f>
      </x:c>
      <x:c r="B171" s="259"/>
      <x:c r="C171" s="259"/>
      <x:c r="D171" s="271" t="str">
        <x:f>IF($B171="","",IFERROR(IF(INDEX(Obras!$G$5:$G$19,MATCH($B171,Obras!$A$5:$A$19,0))="","",INDEX(Obras!$G$5:$G$19,MATCH($B171,Obras!$A$5:$A$19,0))),""))</x:f>
      </x:c>
      <x:c r="E171" s="259"/>
      <x:c r="F171" s="268"/>
      <x:c r="G171" s="259"/>
      <x:c r="H171" s="259"/>
      <x:c r="I171" s="259"/>
      <x:c r="J171" s="181" t="str">
        <x:f t="shared" si="4"/>
      </x:c>
      <x:c r="K171" s="176" t="str">
        <x:f t="shared" si="5"/>
      </x:c>
      <x:c r="L171" s="181" t="str">
        <x:f>IF($C171="","",IFERROR(IF(INDEX(Catalogo!$H$5:$H$86,MATCH($C171,Catalogo!$A$5:$A$86,0))="","",INDEX(Catalogo!$H$5:$H$86,MATCH($C171,Catalogo!$A$5:$A$86,0))),""))</x:f>
      </x:c>
      <x:c r="M171" s="176" t="str">
        <x:f>IF(OR($B171="",$L171=""),"",IFERROR(IF(INDEX(Obras!$H$5:$H$19,MATCH($B171,Obras!$A$5:$A$19,0))="","",IF(INDEX(Obras!$H$5:$H$19,MATCH($B171,Obras!$A$5:$A$19,0))&gt;$L171,"VENCIDA",IF($L171-INDEX(Obras!$H$5:$H$19,MATCH($B171,Obras!$A$5:$A$19,0))&lt;=0.5,"VENCE EM ATÉ 6 MESES","VIGENTE"))),""))</x:f>
      </x:c>
      <x:c r="N171" s="268"/>
    </x:row>
    <x:row r="172" ht="30" customHeight="1">
      <x:c r="A172" s="176" t="str">
        <x:f>IF(OR($B172="",$C172=""),"","LC-"&amp;TEXT(168,"0000"))</x:f>
      </x:c>
      <x:c r="B172" s="259"/>
      <x:c r="C172" s="259"/>
      <x:c r="D172" s="271" t="str">
        <x:f>IF($B172="","",IFERROR(IF(INDEX(Obras!$G$5:$G$19,MATCH($B172,Obras!$A$5:$A$19,0))="","",INDEX(Obras!$G$5:$G$19,MATCH($B172,Obras!$A$5:$A$19,0))),""))</x:f>
      </x:c>
      <x:c r="E172" s="259"/>
      <x:c r="F172" s="268"/>
      <x:c r="G172" s="259"/>
      <x:c r="H172" s="259"/>
      <x:c r="I172" s="259"/>
      <x:c r="J172" s="181" t="str">
        <x:f t="shared" si="4"/>
      </x:c>
      <x:c r="K172" s="176" t="str">
        <x:f t="shared" si="5"/>
      </x:c>
      <x:c r="L172" s="181" t="str">
        <x:f>IF($C172="","",IFERROR(IF(INDEX(Catalogo!$H$5:$H$86,MATCH($C172,Catalogo!$A$5:$A$86,0))="","",INDEX(Catalogo!$H$5:$H$86,MATCH($C172,Catalogo!$A$5:$A$86,0))),""))</x:f>
      </x:c>
      <x:c r="M172" s="176" t="str">
        <x:f>IF(OR($B172="",$L172=""),"",IFERROR(IF(INDEX(Obras!$H$5:$H$19,MATCH($B172,Obras!$A$5:$A$19,0))="","",IF(INDEX(Obras!$H$5:$H$19,MATCH($B172,Obras!$A$5:$A$19,0))&gt;$L172,"VENCIDA",IF($L172-INDEX(Obras!$H$5:$H$19,MATCH($B172,Obras!$A$5:$A$19,0))&lt;=0.5,"VENCE EM ATÉ 6 MESES","VIGENTE"))),""))</x:f>
      </x:c>
      <x:c r="N172" s="268"/>
    </x:row>
    <x:row r="173" ht="30" customHeight="1">
      <x:c r="A173" s="176" t="str">
        <x:f>IF(OR($B173="",$C173=""),"","LC-"&amp;TEXT(169,"0000"))</x:f>
      </x:c>
      <x:c r="B173" s="259"/>
      <x:c r="C173" s="259"/>
      <x:c r="D173" s="271" t="str">
        <x:f>IF($B173="","",IFERROR(IF(INDEX(Obras!$G$5:$G$19,MATCH($B173,Obras!$A$5:$A$19,0))="","",INDEX(Obras!$G$5:$G$19,MATCH($B173,Obras!$A$5:$A$19,0))),""))</x:f>
      </x:c>
      <x:c r="E173" s="259"/>
      <x:c r="F173" s="268"/>
      <x:c r="G173" s="259"/>
      <x:c r="H173" s="259"/>
      <x:c r="I173" s="259"/>
      <x:c r="J173" s="181" t="str">
        <x:f t="shared" si="4"/>
      </x:c>
      <x:c r="K173" s="176" t="str">
        <x:f t="shared" si="5"/>
      </x:c>
      <x:c r="L173" s="181" t="str">
        <x:f>IF($C173="","",IFERROR(IF(INDEX(Catalogo!$H$5:$H$86,MATCH($C173,Catalogo!$A$5:$A$86,0))="","",INDEX(Catalogo!$H$5:$H$86,MATCH($C173,Catalogo!$A$5:$A$86,0))),""))</x:f>
      </x:c>
      <x:c r="M173" s="176" t="str">
        <x:f>IF(OR($B173="",$L173=""),"",IFERROR(IF(INDEX(Obras!$H$5:$H$19,MATCH($B173,Obras!$A$5:$A$19,0))="","",IF(INDEX(Obras!$H$5:$H$19,MATCH($B173,Obras!$A$5:$A$19,0))&gt;$L173,"VENCIDA",IF($L173-INDEX(Obras!$H$5:$H$19,MATCH($B173,Obras!$A$5:$A$19,0))&lt;=0.5,"VENCE EM ATÉ 6 MESES","VIGENTE"))),""))</x:f>
      </x:c>
      <x:c r="N173" s="268"/>
    </x:row>
    <x:row r="174" ht="30" customHeight="1">
      <x:c r="A174" s="176" t="str">
        <x:f>IF(OR($B174="",$C174=""),"","LC-"&amp;TEXT(170,"0000"))</x:f>
      </x:c>
      <x:c r="B174" s="259"/>
      <x:c r="C174" s="259"/>
      <x:c r="D174" s="271" t="str">
        <x:f>IF($B174="","",IFERROR(IF(INDEX(Obras!$G$5:$G$19,MATCH($B174,Obras!$A$5:$A$19,0))="","",INDEX(Obras!$G$5:$G$19,MATCH($B174,Obras!$A$5:$A$19,0))),""))</x:f>
      </x:c>
      <x:c r="E174" s="259"/>
      <x:c r="F174" s="268"/>
      <x:c r="G174" s="259"/>
      <x:c r="H174" s="259"/>
      <x:c r="I174" s="259"/>
      <x:c r="J174" s="181" t="str">
        <x:f t="shared" si="4"/>
      </x:c>
      <x:c r="K174" s="176" t="str">
        <x:f t="shared" si="5"/>
      </x:c>
      <x:c r="L174" s="181" t="str">
        <x:f>IF($C174="","",IFERROR(IF(INDEX(Catalogo!$H$5:$H$86,MATCH($C174,Catalogo!$A$5:$A$86,0))="","",INDEX(Catalogo!$H$5:$H$86,MATCH($C174,Catalogo!$A$5:$A$86,0))),""))</x:f>
      </x:c>
      <x:c r="M174" s="176" t="str">
        <x:f>IF(OR($B174="",$L174=""),"",IFERROR(IF(INDEX(Obras!$H$5:$H$19,MATCH($B174,Obras!$A$5:$A$19,0))="","",IF(INDEX(Obras!$H$5:$H$19,MATCH($B174,Obras!$A$5:$A$19,0))&gt;$L174,"VENCIDA",IF($L174-INDEX(Obras!$H$5:$H$19,MATCH($B174,Obras!$A$5:$A$19,0))&lt;=0.5,"VENCE EM ATÉ 6 MESES","VIGENTE"))),""))</x:f>
      </x:c>
      <x:c r="N174" s="268"/>
    </x:row>
    <x:row r="175" ht="30" customHeight="1">
      <x:c r="A175" s="176" t="str">
        <x:f>IF(OR($B175="",$C175=""),"","LC-"&amp;TEXT(171,"0000"))</x:f>
      </x:c>
      <x:c r="B175" s="259"/>
      <x:c r="C175" s="259"/>
      <x:c r="D175" s="271" t="str">
        <x:f>IF($B175="","",IFERROR(IF(INDEX(Obras!$G$5:$G$19,MATCH($B175,Obras!$A$5:$A$19,0))="","",INDEX(Obras!$G$5:$G$19,MATCH($B175,Obras!$A$5:$A$19,0))),""))</x:f>
      </x:c>
      <x:c r="E175" s="259"/>
      <x:c r="F175" s="268"/>
      <x:c r="G175" s="259"/>
      <x:c r="H175" s="259"/>
      <x:c r="I175" s="259"/>
      <x:c r="J175" s="181" t="str">
        <x:f t="shared" si="4"/>
      </x:c>
      <x:c r="K175" s="176" t="str">
        <x:f t="shared" si="5"/>
      </x:c>
      <x:c r="L175" s="181" t="str">
        <x:f>IF($C175="","",IFERROR(IF(INDEX(Catalogo!$H$5:$H$86,MATCH($C175,Catalogo!$A$5:$A$86,0))="","",INDEX(Catalogo!$H$5:$H$86,MATCH($C175,Catalogo!$A$5:$A$86,0))),""))</x:f>
      </x:c>
      <x:c r="M175" s="176" t="str">
        <x:f>IF(OR($B175="",$L175=""),"",IFERROR(IF(INDEX(Obras!$H$5:$H$19,MATCH($B175,Obras!$A$5:$A$19,0))="","",IF(INDEX(Obras!$H$5:$H$19,MATCH($B175,Obras!$A$5:$A$19,0))&gt;$L175,"VENCIDA",IF($L175-INDEX(Obras!$H$5:$H$19,MATCH($B175,Obras!$A$5:$A$19,0))&lt;=0.5,"VENCE EM ATÉ 6 MESES","VIGENTE"))),""))</x:f>
      </x:c>
      <x:c r="N175" s="268"/>
    </x:row>
    <x:row r="176" ht="30" customHeight="1">
      <x:c r="A176" s="176" t="str">
        <x:f>IF(OR($B176="",$C176=""),"","LC-"&amp;TEXT(172,"0000"))</x:f>
      </x:c>
      <x:c r="B176" s="259"/>
      <x:c r="C176" s="259"/>
      <x:c r="D176" s="271" t="str">
        <x:f>IF($B176="","",IFERROR(IF(INDEX(Obras!$G$5:$G$19,MATCH($B176,Obras!$A$5:$A$19,0))="","",INDEX(Obras!$G$5:$G$19,MATCH($B176,Obras!$A$5:$A$19,0))),""))</x:f>
      </x:c>
      <x:c r="E176" s="259"/>
      <x:c r="F176" s="268"/>
      <x:c r="G176" s="259"/>
      <x:c r="H176" s="259"/>
      <x:c r="I176" s="259"/>
      <x:c r="J176" s="181" t="str">
        <x:f t="shared" si="4"/>
      </x:c>
      <x:c r="K176" s="176" t="str">
        <x:f t="shared" si="5"/>
      </x:c>
      <x:c r="L176" s="181" t="str">
        <x:f>IF($C176="","",IFERROR(IF(INDEX(Catalogo!$H$5:$H$86,MATCH($C176,Catalogo!$A$5:$A$86,0))="","",INDEX(Catalogo!$H$5:$H$86,MATCH($C176,Catalogo!$A$5:$A$86,0))),""))</x:f>
      </x:c>
      <x:c r="M176" s="176" t="str">
        <x:f>IF(OR($B176="",$L176=""),"",IFERROR(IF(INDEX(Obras!$H$5:$H$19,MATCH($B176,Obras!$A$5:$A$19,0))="","",IF(INDEX(Obras!$H$5:$H$19,MATCH($B176,Obras!$A$5:$A$19,0))&gt;$L176,"VENCIDA",IF($L176-INDEX(Obras!$H$5:$H$19,MATCH($B176,Obras!$A$5:$A$19,0))&lt;=0.5,"VENCE EM ATÉ 6 MESES","VIGENTE"))),""))</x:f>
      </x:c>
      <x:c r="N176" s="268"/>
    </x:row>
    <x:row r="177" ht="30" customHeight="1">
      <x:c r="A177" s="176" t="str">
        <x:f>IF(OR($B177="",$C177=""),"","LC-"&amp;TEXT(173,"0000"))</x:f>
      </x:c>
      <x:c r="B177" s="259"/>
      <x:c r="C177" s="259"/>
      <x:c r="D177" s="271" t="str">
        <x:f>IF($B177="","",IFERROR(IF(INDEX(Obras!$G$5:$G$19,MATCH($B177,Obras!$A$5:$A$19,0))="","",INDEX(Obras!$G$5:$G$19,MATCH($B177,Obras!$A$5:$A$19,0))),""))</x:f>
      </x:c>
      <x:c r="E177" s="259"/>
      <x:c r="F177" s="268"/>
      <x:c r="G177" s="259"/>
      <x:c r="H177" s="259"/>
      <x:c r="I177" s="259"/>
      <x:c r="J177" s="181" t="str">
        <x:f t="shared" si="4"/>
      </x:c>
      <x:c r="K177" s="176" t="str">
        <x:f t="shared" si="5"/>
      </x:c>
      <x:c r="L177" s="181" t="str">
        <x:f>IF($C177="","",IFERROR(IF(INDEX(Catalogo!$H$5:$H$86,MATCH($C177,Catalogo!$A$5:$A$86,0))="","",INDEX(Catalogo!$H$5:$H$86,MATCH($C177,Catalogo!$A$5:$A$86,0))),""))</x:f>
      </x:c>
      <x:c r="M177" s="176" t="str">
        <x:f>IF(OR($B177="",$L177=""),"",IFERROR(IF(INDEX(Obras!$H$5:$H$19,MATCH($B177,Obras!$A$5:$A$19,0))="","",IF(INDEX(Obras!$H$5:$H$19,MATCH($B177,Obras!$A$5:$A$19,0))&gt;$L177,"VENCIDA",IF($L177-INDEX(Obras!$H$5:$H$19,MATCH($B177,Obras!$A$5:$A$19,0))&lt;=0.5,"VENCE EM ATÉ 6 MESES","VIGENTE"))),""))</x:f>
      </x:c>
      <x:c r="N177" s="268"/>
    </x:row>
    <x:row r="178" ht="30" customHeight="1">
      <x:c r="A178" s="176" t="str">
        <x:f>IF(OR($B178="",$C178=""),"","LC-"&amp;TEXT(174,"0000"))</x:f>
      </x:c>
      <x:c r="B178" s="259"/>
      <x:c r="C178" s="259"/>
      <x:c r="D178" s="271" t="str">
        <x:f>IF($B178="","",IFERROR(IF(INDEX(Obras!$G$5:$G$19,MATCH($B178,Obras!$A$5:$A$19,0))="","",INDEX(Obras!$G$5:$G$19,MATCH($B178,Obras!$A$5:$A$19,0))),""))</x:f>
      </x:c>
      <x:c r="E178" s="259"/>
      <x:c r="F178" s="268"/>
      <x:c r="G178" s="259"/>
      <x:c r="H178" s="259"/>
      <x:c r="I178" s="259"/>
      <x:c r="J178" s="181" t="str">
        <x:f t="shared" si="4"/>
      </x:c>
      <x:c r="K178" s="176" t="str">
        <x:f t="shared" si="5"/>
      </x:c>
      <x:c r="L178" s="181" t="str">
        <x:f>IF($C178="","",IFERROR(IF(INDEX(Catalogo!$H$5:$H$86,MATCH($C178,Catalogo!$A$5:$A$86,0))="","",INDEX(Catalogo!$H$5:$H$86,MATCH($C178,Catalogo!$A$5:$A$86,0))),""))</x:f>
      </x:c>
      <x:c r="M178" s="176" t="str">
        <x:f>IF(OR($B178="",$L178=""),"",IFERROR(IF(INDEX(Obras!$H$5:$H$19,MATCH($B178,Obras!$A$5:$A$19,0))="","",IF(INDEX(Obras!$H$5:$H$19,MATCH($B178,Obras!$A$5:$A$19,0))&gt;$L178,"VENCIDA",IF($L178-INDEX(Obras!$H$5:$H$19,MATCH($B178,Obras!$A$5:$A$19,0))&lt;=0.5,"VENCE EM ATÉ 6 MESES","VIGENTE"))),""))</x:f>
      </x:c>
      <x:c r="N178" s="268"/>
    </x:row>
    <x:row r="179" ht="30" customHeight="1">
      <x:c r="A179" s="176" t="str">
        <x:f>IF(OR($B179="",$C179=""),"","LC-"&amp;TEXT(175,"0000"))</x:f>
      </x:c>
      <x:c r="B179" s="259"/>
      <x:c r="C179" s="259"/>
      <x:c r="D179" s="271" t="str">
        <x:f>IF($B179="","",IFERROR(IF(INDEX(Obras!$G$5:$G$19,MATCH($B179,Obras!$A$5:$A$19,0))="","",INDEX(Obras!$G$5:$G$19,MATCH($B179,Obras!$A$5:$A$19,0))),""))</x:f>
      </x:c>
      <x:c r="E179" s="259"/>
      <x:c r="F179" s="268"/>
      <x:c r="G179" s="259"/>
      <x:c r="H179" s="259"/>
      <x:c r="I179" s="259"/>
      <x:c r="J179" s="181" t="str">
        <x:f t="shared" si="4"/>
      </x:c>
      <x:c r="K179" s="176" t="str">
        <x:f t="shared" si="5"/>
      </x:c>
      <x:c r="L179" s="181" t="str">
        <x:f>IF($C179="","",IFERROR(IF(INDEX(Catalogo!$H$5:$H$86,MATCH($C179,Catalogo!$A$5:$A$86,0))="","",INDEX(Catalogo!$H$5:$H$86,MATCH($C179,Catalogo!$A$5:$A$86,0))),""))</x:f>
      </x:c>
      <x:c r="M179" s="176" t="str">
        <x:f>IF(OR($B179="",$L179=""),"",IFERROR(IF(INDEX(Obras!$H$5:$H$19,MATCH($B179,Obras!$A$5:$A$19,0))="","",IF(INDEX(Obras!$H$5:$H$19,MATCH($B179,Obras!$A$5:$A$19,0))&gt;$L179,"VENCIDA",IF($L179-INDEX(Obras!$H$5:$H$19,MATCH($B179,Obras!$A$5:$A$19,0))&lt;=0.5,"VENCE EM ATÉ 6 MESES","VIGENTE"))),""))</x:f>
      </x:c>
      <x:c r="N179" s="268"/>
    </x:row>
    <x:row r="180" ht="30" customHeight="1">
      <x:c r="A180" s="176" t="str">
        <x:f>IF(OR($B180="",$C180=""),"","LC-"&amp;TEXT(176,"0000"))</x:f>
      </x:c>
      <x:c r="B180" s="259"/>
      <x:c r="C180" s="259"/>
      <x:c r="D180" s="271" t="str">
        <x:f>IF($B180="","",IFERROR(IF(INDEX(Obras!$G$5:$G$19,MATCH($B180,Obras!$A$5:$A$19,0))="","",INDEX(Obras!$G$5:$G$19,MATCH($B180,Obras!$A$5:$A$19,0))),""))</x:f>
      </x:c>
      <x:c r="E180" s="259"/>
      <x:c r="F180" s="268"/>
      <x:c r="G180" s="259"/>
      <x:c r="H180" s="259"/>
      <x:c r="I180" s="259"/>
      <x:c r="J180" s="181" t="str">
        <x:f t="shared" si="4"/>
      </x:c>
      <x:c r="K180" s="176" t="str">
        <x:f t="shared" si="5"/>
      </x:c>
      <x:c r="L180" s="181" t="str">
        <x:f>IF($C180="","",IFERROR(IF(INDEX(Catalogo!$H$5:$H$86,MATCH($C180,Catalogo!$A$5:$A$86,0))="","",INDEX(Catalogo!$H$5:$H$86,MATCH($C180,Catalogo!$A$5:$A$86,0))),""))</x:f>
      </x:c>
      <x:c r="M180" s="176" t="str">
        <x:f>IF(OR($B180="",$L180=""),"",IFERROR(IF(INDEX(Obras!$H$5:$H$19,MATCH($B180,Obras!$A$5:$A$19,0))="","",IF(INDEX(Obras!$H$5:$H$19,MATCH($B180,Obras!$A$5:$A$19,0))&gt;$L180,"VENCIDA",IF($L180-INDEX(Obras!$H$5:$H$19,MATCH($B180,Obras!$A$5:$A$19,0))&lt;=0.5,"VENCE EM ATÉ 6 MESES","VIGENTE"))),""))</x:f>
      </x:c>
      <x:c r="N180" s="268"/>
    </x:row>
    <x:row r="181" ht="30" customHeight="1">
      <x:c r="A181" s="176" t="str">
        <x:f>IF(OR($B181="",$C181=""),"","LC-"&amp;TEXT(177,"0000"))</x:f>
      </x:c>
      <x:c r="B181" s="259"/>
      <x:c r="C181" s="259"/>
      <x:c r="D181" s="271" t="str">
        <x:f>IF($B181="","",IFERROR(IF(INDEX(Obras!$G$5:$G$19,MATCH($B181,Obras!$A$5:$A$19,0))="","",INDEX(Obras!$G$5:$G$19,MATCH($B181,Obras!$A$5:$A$19,0))),""))</x:f>
      </x:c>
      <x:c r="E181" s="259"/>
      <x:c r="F181" s="268"/>
      <x:c r="G181" s="259"/>
      <x:c r="H181" s="259"/>
      <x:c r="I181" s="259"/>
      <x:c r="J181" s="181" t="str">
        <x:f t="shared" si="4"/>
      </x:c>
      <x:c r="K181" s="176" t="str">
        <x:f t="shared" si="5"/>
      </x:c>
      <x:c r="L181" s="181" t="str">
        <x:f>IF($C181="","",IFERROR(IF(INDEX(Catalogo!$H$5:$H$86,MATCH($C181,Catalogo!$A$5:$A$86,0))="","",INDEX(Catalogo!$H$5:$H$86,MATCH($C181,Catalogo!$A$5:$A$86,0))),""))</x:f>
      </x:c>
      <x:c r="M181" s="176" t="str">
        <x:f>IF(OR($B181="",$L181=""),"",IFERROR(IF(INDEX(Obras!$H$5:$H$19,MATCH($B181,Obras!$A$5:$A$19,0))="","",IF(INDEX(Obras!$H$5:$H$19,MATCH($B181,Obras!$A$5:$A$19,0))&gt;$L181,"VENCIDA",IF($L181-INDEX(Obras!$H$5:$H$19,MATCH($B181,Obras!$A$5:$A$19,0))&lt;=0.5,"VENCE EM ATÉ 6 MESES","VIGENTE"))),""))</x:f>
      </x:c>
      <x:c r="N181" s="268"/>
    </x:row>
    <x:row r="182" ht="30" customHeight="1">
      <x:c r="A182" s="176" t="str">
        <x:f>IF(OR($B182="",$C182=""),"","LC-"&amp;TEXT(178,"0000"))</x:f>
      </x:c>
      <x:c r="B182" s="259"/>
      <x:c r="C182" s="259"/>
      <x:c r="D182" s="271" t="str">
        <x:f>IF($B182="","",IFERROR(IF(INDEX(Obras!$G$5:$G$19,MATCH($B182,Obras!$A$5:$A$19,0))="","",INDEX(Obras!$G$5:$G$19,MATCH($B182,Obras!$A$5:$A$19,0))),""))</x:f>
      </x:c>
      <x:c r="E182" s="259"/>
      <x:c r="F182" s="268"/>
      <x:c r="G182" s="259"/>
      <x:c r="H182" s="259"/>
      <x:c r="I182" s="259"/>
      <x:c r="J182" s="181" t="str">
        <x:f t="shared" si="4"/>
      </x:c>
      <x:c r="K182" s="176" t="str">
        <x:f t="shared" si="5"/>
      </x:c>
      <x:c r="L182" s="181" t="str">
        <x:f>IF($C182="","",IFERROR(IF(INDEX(Catalogo!$H$5:$H$86,MATCH($C182,Catalogo!$A$5:$A$86,0))="","",INDEX(Catalogo!$H$5:$H$86,MATCH($C182,Catalogo!$A$5:$A$86,0))),""))</x:f>
      </x:c>
      <x:c r="M182" s="176" t="str">
        <x:f>IF(OR($B182="",$L182=""),"",IFERROR(IF(INDEX(Obras!$H$5:$H$19,MATCH($B182,Obras!$A$5:$A$19,0))="","",IF(INDEX(Obras!$H$5:$H$19,MATCH($B182,Obras!$A$5:$A$19,0))&gt;$L182,"VENCIDA",IF($L182-INDEX(Obras!$H$5:$H$19,MATCH($B182,Obras!$A$5:$A$19,0))&lt;=0.5,"VENCE EM ATÉ 6 MESES","VIGENTE"))),""))</x:f>
      </x:c>
      <x:c r="N182" s="268"/>
    </x:row>
    <x:row r="183" ht="30" customHeight="1">
      <x:c r="A183" s="176" t="str">
        <x:f>IF(OR($B183="",$C183=""),"","LC-"&amp;TEXT(179,"0000"))</x:f>
      </x:c>
      <x:c r="B183" s="259"/>
      <x:c r="C183" s="259"/>
      <x:c r="D183" s="271" t="str">
        <x:f>IF($B183="","",IFERROR(IF(INDEX(Obras!$G$5:$G$19,MATCH($B183,Obras!$A$5:$A$19,0))="","",INDEX(Obras!$G$5:$G$19,MATCH($B183,Obras!$A$5:$A$19,0))),""))</x:f>
      </x:c>
      <x:c r="E183" s="259"/>
      <x:c r="F183" s="268"/>
      <x:c r="G183" s="259"/>
      <x:c r="H183" s="259"/>
      <x:c r="I183" s="259"/>
      <x:c r="J183" s="181" t="str">
        <x:f t="shared" si="4"/>
      </x:c>
      <x:c r="K183" s="176" t="str">
        <x:f t="shared" si="5"/>
      </x:c>
      <x:c r="L183" s="181" t="str">
        <x:f>IF($C183="","",IFERROR(IF(INDEX(Catalogo!$H$5:$H$86,MATCH($C183,Catalogo!$A$5:$A$86,0))="","",INDEX(Catalogo!$H$5:$H$86,MATCH($C183,Catalogo!$A$5:$A$86,0))),""))</x:f>
      </x:c>
      <x:c r="M183" s="176" t="str">
        <x:f>IF(OR($B183="",$L183=""),"",IFERROR(IF(INDEX(Obras!$H$5:$H$19,MATCH($B183,Obras!$A$5:$A$19,0))="","",IF(INDEX(Obras!$H$5:$H$19,MATCH($B183,Obras!$A$5:$A$19,0))&gt;$L183,"VENCIDA",IF($L183-INDEX(Obras!$H$5:$H$19,MATCH($B183,Obras!$A$5:$A$19,0))&lt;=0.5,"VENCE EM ATÉ 6 MESES","VIGENTE"))),""))</x:f>
      </x:c>
      <x:c r="N183" s="268"/>
    </x:row>
    <x:row r="184" ht="30" customHeight="1">
      <x:c r="A184" s="176" t="str">
        <x:f>IF(OR($B184="",$C184=""),"","LC-"&amp;TEXT(180,"0000"))</x:f>
      </x:c>
      <x:c r="B184" s="259"/>
      <x:c r="C184" s="259"/>
      <x:c r="D184" s="271" t="str">
        <x:f>IF($B184="","",IFERROR(IF(INDEX(Obras!$G$5:$G$19,MATCH($B184,Obras!$A$5:$A$19,0))="","",INDEX(Obras!$G$5:$G$19,MATCH($B184,Obras!$A$5:$A$19,0))),""))</x:f>
      </x:c>
      <x:c r="E184" s="259"/>
      <x:c r="F184" s="268"/>
      <x:c r="G184" s="259"/>
      <x:c r="H184" s="259"/>
      <x:c r="I184" s="259"/>
      <x:c r="J184" s="181" t="str">
        <x:f t="shared" si="4"/>
      </x:c>
      <x:c r="K184" s="176" t="str">
        <x:f t="shared" si="5"/>
      </x:c>
      <x:c r="L184" s="181" t="str">
        <x:f>IF($C184="","",IFERROR(IF(INDEX(Catalogo!$H$5:$H$86,MATCH($C184,Catalogo!$A$5:$A$86,0))="","",INDEX(Catalogo!$H$5:$H$86,MATCH($C184,Catalogo!$A$5:$A$86,0))),""))</x:f>
      </x:c>
      <x:c r="M184" s="176" t="str">
        <x:f>IF(OR($B184="",$L184=""),"",IFERROR(IF(INDEX(Obras!$H$5:$H$19,MATCH($B184,Obras!$A$5:$A$19,0))="","",IF(INDEX(Obras!$H$5:$H$19,MATCH($B184,Obras!$A$5:$A$19,0))&gt;$L184,"VENCIDA",IF($L184-INDEX(Obras!$H$5:$H$19,MATCH($B184,Obras!$A$5:$A$19,0))&lt;=0.5,"VENCE EM ATÉ 6 MESES","VIGENTE"))),""))</x:f>
      </x:c>
      <x:c r="N184" s="268"/>
    </x:row>
    <x:row r="185" ht="30" customHeight="1">
      <x:c r="A185" s="176" t="str">
        <x:f>IF(OR($B185="",$C185=""),"","LC-"&amp;TEXT(181,"0000"))</x:f>
      </x:c>
      <x:c r="B185" s="259"/>
      <x:c r="C185" s="259"/>
      <x:c r="D185" s="271" t="str">
        <x:f>IF($B185="","",IFERROR(IF(INDEX(Obras!$G$5:$G$19,MATCH($B185,Obras!$A$5:$A$19,0))="","",INDEX(Obras!$G$5:$G$19,MATCH($B185,Obras!$A$5:$A$19,0))),""))</x:f>
      </x:c>
      <x:c r="E185" s="259"/>
      <x:c r="F185" s="268"/>
      <x:c r="G185" s="259"/>
      <x:c r="H185" s="259"/>
      <x:c r="I185" s="259"/>
      <x:c r="J185" s="181" t="str">
        <x:f t="shared" si="4"/>
      </x:c>
      <x:c r="K185" s="176" t="str">
        <x:f t="shared" si="5"/>
      </x:c>
      <x:c r="L185" s="181" t="str">
        <x:f>IF($C185="","",IFERROR(IF(INDEX(Catalogo!$H$5:$H$86,MATCH($C185,Catalogo!$A$5:$A$86,0))="","",INDEX(Catalogo!$H$5:$H$86,MATCH($C185,Catalogo!$A$5:$A$86,0))),""))</x:f>
      </x:c>
      <x:c r="M185" s="176" t="str">
        <x:f>IF(OR($B185="",$L185=""),"",IFERROR(IF(INDEX(Obras!$H$5:$H$19,MATCH($B185,Obras!$A$5:$A$19,0))="","",IF(INDEX(Obras!$H$5:$H$19,MATCH($B185,Obras!$A$5:$A$19,0))&gt;$L185,"VENCIDA",IF($L185-INDEX(Obras!$H$5:$H$19,MATCH($B185,Obras!$A$5:$A$19,0))&lt;=0.5,"VENCE EM ATÉ 6 MESES","VIGENTE"))),""))</x:f>
      </x:c>
      <x:c r="N185" s="268"/>
    </x:row>
    <x:row r="186" ht="30" customHeight="1">
      <x:c r="A186" s="176" t="str">
        <x:f>IF(OR($B186="",$C186=""),"","LC-"&amp;TEXT(182,"0000"))</x:f>
      </x:c>
      <x:c r="B186" s="259"/>
      <x:c r="C186" s="259"/>
      <x:c r="D186" s="271" t="str">
        <x:f>IF($B186="","",IFERROR(IF(INDEX(Obras!$G$5:$G$19,MATCH($B186,Obras!$A$5:$A$19,0))="","",INDEX(Obras!$G$5:$G$19,MATCH($B186,Obras!$A$5:$A$19,0))),""))</x:f>
      </x:c>
      <x:c r="E186" s="259"/>
      <x:c r="F186" s="268"/>
      <x:c r="G186" s="259"/>
      <x:c r="H186" s="259"/>
      <x:c r="I186" s="259"/>
      <x:c r="J186" s="181" t="str">
        <x:f t="shared" si="4"/>
      </x:c>
      <x:c r="K186" s="176" t="str">
        <x:f t="shared" si="5"/>
      </x:c>
      <x:c r="L186" s="181" t="str">
        <x:f>IF($C186="","",IFERROR(IF(INDEX(Catalogo!$H$5:$H$86,MATCH($C186,Catalogo!$A$5:$A$86,0))="","",INDEX(Catalogo!$H$5:$H$86,MATCH($C186,Catalogo!$A$5:$A$86,0))),""))</x:f>
      </x:c>
      <x:c r="M186" s="176" t="str">
        <x:f>IF(OR($B186="",$L186=""),"",IFERROR(IF(INDEX(Obras!$H$5:$H$19,MATCH($B186,Obras!$A$5:$A$19,0))="","",IF(INDEX(Obras!$H$5:$H$19,MATCH($B186,Obras!$A$5:$A$19,0))&gt;$L186,"VENCIDA",IF($L186-INDEX(Obras!$H$5:$H$19,MATCH($B186,Obras!$A$5:$A$19,0))&lt;=0.5,"VENCE EM ATÉ 6 MESES","VIGENTE"))),""))</x:f>
      </x:c>
      <x:c r="N186" s="268"/>
    </x:row>
    <x:row r="187" ht="30" customHeight="1">
      <x:c r="A187" s="176" t="str">
        <x:f>IF(OR($B187="",$C187=""),"","LC-"&amp;TEXT(183,"0000"))</x:f>
      </x:c>
      <x:c r="B187" s="259"/>
      <x:c r="C187" s="259"/>
      <x:c r="D187" s="271" t="str">
        <x:f>IF($B187="","",IFERROR(IF(INDEX(Obras!$G$5:$G$19,MATCH($B187,Obras!$A$5:$A$19,0))="","",INDEX(Obras!$G$5:$G$19,MATCH($B187,Obras!$A$5:$A$19,0))),""))</x:f>
      </x:c>
      <x:c r="E187" s="259"/>
      <x:c r="F187" s="268"/>
      <x:c r="G187" s="259"/>
      <x:c r="H187" s="259"/>
      <x:c r="I187" s="259"/>
      <x:c r="J187" s="181" t="str">
        <x:f t="shared" si="4"/>
      </x:c>
      <x:c r="K187" s="176" t="str">
        <x:f t="shared" si="5"/>
      </x:c>
      <x:c r="L187" s="181" t="str">
        <x:f>IF($C187="","",IFERROR(IF(INDEX(Catalogo!$H$5:$H$86,MATCH($C187,Catalogo!$A$5:$A$86,0))="","",INDEX(Catalogo!$H$5:$H$86,MATCH($C187,Catalogo!$A$5:$A$86,0))),""))</x:f>
      </x:c>
      <x:c r="M187" s="176" t="str">
        <x:f>IF(OR($B187="",$L187=""),"",IFERROR(IF(INDEX(Obras!$H$5:$H$19,MATCH($B187,Obras!$A$5:$A$19,0))="","",IF(INDEX(Obras!$H$5:$H$19,MATCH($B187,Obras!$A$5:$A$19,0))&gt;$L187,"VENCIDA",IF($L187-INDEX(Obras!$H$5:$H$19,MATCH($B187,Obras!$A$5:$A$19,0))&lt;=0.5,"VENCE EM ATÉ 6 MESES","VIGENTE"))),""))</x:f>
      </x:c>
      <x:c r="N187" s="268"/>
    </x:row>
    <x:row r="188" ht="30" customHeight="1">
      <x:c r="A188" s="176" t="str">
        <x:f>IF(OR($B188="",$C188=""),"","LC-"&amp;TEXT(184,"0000"))</x:f>
      </x:c>
      <x:c r="B188" s="259"/>
      <x:c r="C188" s="259"/>
      <x:c r="D188" s="271" t="str">
        <x:f>IF($B188="","",IFERROR(IF(INDEX(Obras!$G$5:$G$19,MATCH($B188,Obras!$A$5:$A$19,0))="","",INDEX(Obras!$G$5:$G$19,MATCH($B188,Obras!$A$5:$A$19,0))),""))</x:f>
      </x:c>
      <x:c r="E188" s="259"/>
      <x:c r="F188" s="268"/>
      <x:c r="G188" s="259"/>
      <x:c r="H188" s="259"/>
      <x:c r="I188" s="259"/>
      <x:c r="J188" s="181" t="str">
        <x:f t="shared" si="4"/>
      </x:c>
      <x:c r="K188" s="176" t="str">
        <x:f t="shared" si="5"/>
      </x:c>
      <x:c r="L188" s="181" t="str">
        <x:f>IF($C188="","",IFERROR(IF(INDEX(Catalogo!$H$5:$H$86,MATCH($C188,Catalogo!$A$5:$A$86,0))="","",INDEX(Catalogo!$H$5:$H$86,MATCH($C188,Catalogo!$A$5:$A$86,0))),""))</x:f>
      </x:c>
      <x:c r="M188" s="176" t="str">
        <x:f>IF(OR($B188="",$L188=""),"",IFERROR(IF(INDEX(Obras!$H$5:$H$19,MATCH($B188,Obras!$A$5:$A$19,0))="","",IF(INDEX(Obras!$H$5:$H$19,MATCH($B188,Obras!$A$5:$A$19,0))&gt;$L188,"VENCIDA",IF($L188-INDEX(Obras!$H$5:$H$19,MATCH($B188,Obras!$A$5:$A$19,0))&lt;=0.5,"VENCE EM ATÉ 6 MESES","VIGENTE"))),""))</x:f>
      </x:c>
      <x:c r="N188" s="268"/>
    </x:row>
    <x:row r="189" ht="30" customHeight="1">
      <x:c r="A189" s="176" t="str">
        <x:f>IF(OR($B189="",$C189=""),"","LC-"&amp;TEXT(185,"0000"))</x:f>
      </x:c>
      <x:c r="B189" s="259"/>
      <x:c r="C189" s="259"/>
      <x:c r="D189" s="271" t="str">
        <x:f>IF($B189="","",IFERROR(IF(INDEX(Obras!$G$5:$G$19,MATCH($B189,Obras!$A$5:$A$19,0))="","",INDEX(Obras!$G$5:$G$19,MATCH($B189,Obras!$A$5:$A$19,0))),""))</x:f>
      </x:c>
      <x:c r="E189" s="259"/>
      <x:c r="F189" s="268"/>
      <x:c r="G189" s="259"/>
      <x:c r="H189" s="259"/>
      <x:c r="I189" s="259"/>
      <x:c r="J189" s="181" t="str">
        <x:f t="shared" si="4"/>
      </x:c>
      <x:c r="K189" s="176" t="str">
        <x:f t="shared" si="5"/>
      </x:c>
      <x:c r="L189" s="181" t="str">
        <x:f>IF($C189="","",IFERROR(IF(INDEX(Catalogo!$H$5:$H$86,MATCH($C189,Catalogo!$A$5:$A$86,0))="","",INDEX(Catalogo!$H$5:$H$86,MATCH($C189,Catalogo!$A$5:$A$86,0))),""))</x:f>
      </x:c>
      <x:c r="M189" s="176" t="str">
        <x:f>IF(OR($B189="",$L189=""),"",IFERROR(IF(INDEX(Obras!$H$5:$H$19,MATCH($B189,Obras!$A$5:$A$19,0))="","",IF(INDEX(Obras!$H$5:$H$19,MATCH($B189,Obras!$A$5:$A$19,0))&gt;$L189,"VENCIDA",IF($L189-INDEX(Obras!$H$5:$H$19,MATCH($B189,Obras!$A$5:$A$19,0))&lt;=0.5,"VENCE EM ATÉ 6 MESES","VIGENTE"))),""))</x:f>
      </x:c>
      <x:c r="N189" s="268"/>
    </x:row>
    <x:row r="190" ht="30" customHeight="1">
      <x:c r="A190" s="176" t="str">
        <x:f>IF(OR($B190="",$C190=""),"","LC-"&amp;TEXT(186,"0000"))</x:f>
      </x:c>
      <x:c r="B190" s="259"/>
      <x:c r="C190" s="259"/>
      <x:c r="D190" s="271" t="str">
        <x:f>IF($B190="","",IFERROR(IF(INDEX(Obras!$G$5:$G$19,MATCH($B190,Obras!$A$5:$A$19,0))="","",INDEX(Obras!$G$5:$G$19,MATCH($B190,Obras!$A$5:$A$19,0))),""))</x:f>
      </x:c>
      <x:c r="E190" s="259"/>
      <x:c r="F190" s="268"/>
      <x:c r="G190" s="259"/>
      <x:c r="H190" s="259"/>
      <x:c r="I190" s="259"/>
      <x:c r="J190" s="181" t="str">
        <x:f t="shared" si="4"/>
      </x:c>
      <x:c r="K190" s="176" t="str">
        <x:f t="shared" si="5"/>
      </x:c>
      <x:c r="L190" s="181" t="str">
        <x:f>IF($C190="","",IFERROR(IF(INDEX(Catalogo!$H$5:$H$86,MATCH($C190,Catalogo!$A$5:$A$86,0))="","",INDEX(Catalogo!$H$5:$H$86,MATCH($C190,Catalogo!$A$5:$A$86,0))),""))</x:f>
      </x:c>
      <x:c r="M190" s="176" t="str">
        <x:f>IF(OR($B190="",$L190=""),"",IFERROR(IF(INDEX(Obras!$H$5:$H$19,MATCH($B190,Obras!$A$5:$A$19,0))="","",IF(INDEX(Obras!$H$5:$H$19,MATCH($B190,Obras!$A$5:$A$19,0))&gt;$L190,"VENCIDA",IF($L190-INDEX(Obras!$H$5:$H$19,MATCH($B190,Obras!$A$5:$A$19,0))&lt;=0.5,"VENCE EM ATÉ 6 MESES","VIGENTE"))),""))</x:f>
      </x:c>
      <x:c r="N190" s="268"/>
    </x:row>
    <x:row r="191" ht="30" customHeight="1">
      <x:c r="A191" s="176" t="str">
        <x:f>IF(OR($B191="",$C191=""),"","LC-"&amp;TEXT(187,"0000"))</x:f>
      </x:c>
      <x:c r="B191" s="259"/>
      <x:c r="C191" s="259"/>
      <x:c r="D191" s="271" t="str">
        <x:f>IF($B191="","",IFERROR(IF(INDEX(Obras!$G$5:$G$19,MATCH($B191,Obras!$A$5:$A$19,0))="","",INDEX(Obras!$G$5:$G$19,MATCH($B191,Obras!$A$5:$A$19,0))),""))</x:f>
      </x:c>
      <x:c r="E191" s="259"/>
      <x:c r="F191" s="268"/>
      <x:c r="G191" s="259"/>
      <x:c r="H191" s="259"/>
      <x:c r="I191" s="259"/>
      <x:c r="J191" s="181" t="str">
        <x:f t="shared" si="4"/>
      </x:c>
      <x:c r="K191" s="176" t="str">
        <x:f t="shared" si="5"/>
      </x:c>
      <x:c r="L191" s="181" t="str">
        <x:f>IF($C191="","",IFERROR(IF(INDEX(Catalogo!$H$5:$H$86,MATCH($C191,Catalogo!$A$5:$A$86,0))="","",INDEX(Catalogo!$H$5:$H$86,MATCH($C191,Catalogo!$A$5:$A$86,0))),""))</x:f>
      </x:c>
      <x:c r="M191" s="176" t="str">
        <x:f>IF(OR($B191="",$L191=""),"",IFERROR(IF(INDEX(Obras!$H$5:$H$19,MATCH($B191,Obras!$A$5:$A$19,0))="","",IF(INDEX(Obras!$H$5:$H$19,MATCH($B191,Obras!$A$5:$A$19,0))&gt;$L191,"VENCIDA",IF($L191-INDEX(Obras!$H$5:$H$19,MATCH($B191,Obras!$A$5:$A$19,0))&lt;=0.5,"VENCE EM ATÉ 6 MESES","VIGENTE"))),""))</x:f>
      </x:c>
      <x:c r="N191" s="268"/>
    </x:row>
    <x:row r="192" ht="30" customHeight="1">
      <x:c r="A192" s="176" t="str">
        <x:f>IF(OR($B192="",$C192=""),"","LC-"&amp;TEXT(188,"0000"))</x:f>
      </x:c>
      <x:c r="B192" s="259"/>
      <x:c r="C192" s="259"/>
      <x:c r="D192" s="271" t="str">
        <x:f>IF($B192="","",IFERROR(IF(INDEX(Obras!$G$5:$G$19,MATCH($B192,Obras!$A$5:$A$19,0))="","",INDEX(Obras!$G$5:$G$19,MATCH($B192,Obras!$A$5:$A$19,0))),""))</x:f>
      </x:c>
      <x:c r="E192" s="259"/>
      <x:c r="F192" s="268"/>
      <x:c r="G192" s="259"/>
      <x:c r="H192" s="259"/>
      <x:c r="I192" s="259"/>
      <x:c r="J192" s="181" t="str">
        <x:f t="shared" si="4"/>
      </x:c>
      <x:c r="K192" s="176" t="str">
        <x:f t="shared" si="5"/>
      </x:c>
      <x:c r="L192" s="181" t="str">
        <x:f>IF($C192="","",IFERROR(IF(INDEX(Catalogo!$H$5:$H$86,MATCH($C192,Catalogo!$A$5:$A$86,0))="","",INDEX(Catalogo!$H$5:$H$86,MATCH($C192,Catalogo!$A$5:$A$86,0))),""))</x:f>
      </x:c>
      <x:c r="M192" s="176" t="str">
        <x:f>IF(OR($B192="",$L192=""),"",IFERROR(IF(INDEX(Obras!$H$5:$H$19,MATCH($B192,Obras!$A$5:$A$19,0))="","",IF(INDEX(Obras!$H$5:$H$19,MATCH($B192,Obras!$A$5:$A$19,0))&gt;$L192,"VENCIDA",IF($L192-INDEX(Obras!$H$5:$H$19,MATCH($B192,Obras!$A$5:$A$19,0))&lt;=0.5,"VENCE EM ATÉ 6 MESES","VIGENTE"))),""))</x:f>
      </x:c>
      <x:c r="N192" s="268"/>
    </x:row>
    <x:row r="193" ht="30" customHeight="1">
      <x:c r="A193" s="176" t="str">
        <x:f>IF(OR($B193="",$C193=""),"","LC-"&amp;TEXT(189,"0000"))</x:f>
      </x:c>
      <x:c r="B193" s="259"/>
      <x:c r="C193" s="259"/>
      <x:c r="D193" s="271" t="str">
        <x:f>IF($B193="","",IFERROR(IF(INDEX(Obras!$G$5:$G$19,MATCH($B193,Obras!$A$5:$A$19,0))="","",INDEX(Obras!$G$5:$G$19,MATCH($B193,Obras!$A$5:$A$19,0))),""))</x:f>
      </x:c>
      <x:c r="E193" s="259"/>
      <x:c r="F193" s="268"/>
      <x:c r="G193" s="259"/>
      <x:c r="H193" s="259"/>
      <x:c r="I193" s="259"/>
      <x:c r="J193" s="181" t="str">
        <x:f t="shared" si="4"/>
      </x:c>
      <x:c r="K193" s="176" t="str">
        <x:f t="shared" si="5"/>
      </x:c>
      <x:c r="L193" s="181" t="str">
        <x:f>IF($C193="","",IFERROR(IF(INDEX(Catalogo!$H$5:$H$86,MATCH($C193,Catalogo!$A$5:$A$86,0))="","",INDEX(Catalogo!$H$5:$H$86,MATCH($C193,Catalogo!$A$5:$A$86,0))),""))</x:f>
      </x:c>
      <x:c r="M193" s="176" t="str">
        <x:f>IF(OR($B193="",$L193=""),"",IFERROR(IF(INDEX(Obras!$H$5:$H$19,MATCH($B193,Obras!$A$5:$A$19,0))="","",IF(INDEX(Obras!$H$5:$H$19,MATCH($B193,Obras!$A$5:$A$19,0))&gt;$L193,"VENCIDA",IF($L193-INDEX(Obras!$H$5:$H$19,MATCH($B193,Obras!$A$5:$A$19,0))&lt;=0.5,"VENCE EM ATÉ 6 MESES","VIGENTE"))),""))</x:f>
      </x:c>
      <x:c r="N193" s="268"/>
    </x:row>
    <x:row r="194" ht="30" customHeight="1">
      <x:c r="A194" s="176" t="str">
        <x:f>IF(OR($B194="",$C194=""),"","LC-"&amp;TEXT(190,"0000"))</x:f>
      </x:c>
      <x:c r="B194" s="259"/>
      <x:c r="C194" s="259"/>
      <x:c r="D194" s="271" t="str">
        <x:f>IF($B194="","",IFERROR(IF(INDEX(Obras!$G$5:$G$19,MATCH($B194,Obras!$A$5:$A$19,0))="","",INDEX(Obras!$G$5:$G$19,MATCH($B194,Obras!$A$5:$A$19,0))),""))</x:f>
      </x:c>
      <x:c r="E194" s="259"/>
      <x:c r="F194" s="268"/>
      <x:c r="G194" s="259"/>
      <x:c r="H194" s="259"/>
      <x:c r="I194" s="259"/>
      <x:c r="J194" s="181" t="str">
        <x:f t="shared" si="4"/>
      </x:c>
      <x:c r="K194" s="176" t="str">
        <x:f t="shared" si="5"/>
      </x:c>
      <x:c r="L194" s="181" t="str">
        <x:f>IF($C194="","",IFERROR(IF(INDEX(Catalogo!$H$5:$H$86,MATCH($C194,Catalogo!$A$5:$A$86,0))="","",INDEX(Catalogo!$H$5:$H$86,MATCH($C194,Catalogo!$A$5:$A$86,0))),""))</x:f>
      </x:c>
      <x:c r="M194" s="176" t="str">
        <x:f>IF(OR($B194="",$L194=""),"",IFERROR(IF(INDEX(Obras!$H$5:$H$19,MATCH($B194,Obras!$A$5:$A$19,0))="","",IF(INDEX(Obras!$H$5:$H$19,MATCH($B194,Obras!$A$5:$A$19,0))&gt;$L194,"VENCIDA",IF($L194-INDEX(Obras!$H$5:$H$19,MATCH($B194,Obras!$A$5:$A$19,0))&lt;=0.5,"VENCE EM ATÉ 6 MESES","VIGENTE"))),""))</x:f>
      </x:c>
      <x:c r="N194" s="268"/>
    </x:row>
    <x:row r="195" ht="30" customHeight="1">
      <x:c r="A195" s="176" t="str">
        <x:f>IF(OR($B195="",$C195=""),"","LC-"&amp;TEXT(191,"0000"))</x:f>
      </x:c>
      <x:c r="B195" s="259"/>
      <x:c r="C195" s="259"/>
      <x:c r="D195" s="271" t="str">
        <x:f>IF($B195="","",IFERROR(IF(INDEX(Obras!$G$5:$G$19,MATCH($B195,Obras!$A$5:$A$19,0))="","",INDEX(Obras!$G$5:$G$19,MATCH($B195,Obras!$A$5:$A$19,0))),""))</x:f>
      </x:c>
      <x:c r="E195" s="259"/>
      <x:c r="F195" s="268"/>
      <x:c r="G195" s="259"/>
      <x:c r="H195" s="259"/>
      <x:c r="I195" s="259"/>
      <x:c r="J195" s="181" t="str">
        <x:f t="shared" si="4"/>
      </x:c>
      <x:c r="K195" s="176" t="str">
        <x:f t="shared" si="5"/>
      </x:c>
      <x:c r="L195" s="181" t="str">
        <x:f>IF($C195="","",IFERROR(IF(INDEX(Catalogo!$H$5:$H$86,MATCH($C195,Catalogo!$A$5:$A$86,0))="","",INDEX(Catalogo!$H$5:$H$86,MATCH($C195,Catalogo!$A$5:$A$86,0))),""))</x:f>
      </x:c>
      <x:c r="M195" s="176" t="str">
        <x:f>IF(OR($B195="",$L195=""),"",IFERROR(IF(INDEX(Obras!$H$5:$H$19,MATCH($B195,Obras!$A$5:$A$19,0))="","",IF(INDEX(Obras!$H$5:$H$19,MATCH($B195,Obras!$A$5:$A$19,0))&gt;$L195,"VENCIDA",IF($L195-INDEX(Obras!$H$5:$H$19,MATCH($B195,Obras!$A$5:$A$19,0))&lt;=0.5,"VENCE EM ATÉ 6 MESES","VIGENTE"))),""))</x:f>
      </x:c>
      <x:c r="N195" s="268"/>
    </x:row>
    <x:row r="196" ht="30" customHeight="1">
      <x:c r="A196" s="176" t="str">
        <x:f>IF(OR($B196="",$C196=""),"","LC-"&amp;TEXT(192,"0000"))</x:f>
      </x:c>
      <x:c r="B196" s="259"/>
      <x:c r="C196" s="259"/>
      <x:c r="D196" s="271" t="str">
        <x:f>IF($B196="","",IFERROR(IF(INDEX(Obras!$G$5:$G$19,MATCH($B196,Obras!$A$5:$A$19,0))="","",INDEX(Obras!$G$5:$G$19,MATCH($B196,Obras!$A$5:$A$19,0))),""))</x:f>
      </x:c>
      <x:c r="E196" s="259"/>
      <x:c r="F196" s="268"/>
      <x:c r="G196" s="259"/>
      <x:c r="H196" s="259"/>
      <x:c r="I196" s="259"/>
      <x:c r="J196" s="181" t="str">
        <x:f t="shared" si="4"/>
      </x:c>
      <x:c r="K196" s="176" t="str">
        <x:f t="shared" si="5"/>
      </x:c>
      <x:c r="L196" s="181" t="str">
        <x:f>IF($C196="","",IFERROR(IF(INDEX(Catalogo!$H$5:$H$86,MATCH($C196,Catalogo!$A$5:$A$86,0))="","",INDEX(Catalogo!$H$5:$H$86,MATCH($C196,Catalogo!$A$5:$A$86,0))),""))</x:f>
      </x:c>
      <x:c r="M196" s="176" t="str">
        <x:f>IF(OR($B196="",$L196=""),"",IFERROR(IF(INDEX(Obras!$H$5:$H$19,MATCH($B196,Obras!$A$5:$A$19,0))="","",IF(INDEX(Obras!$H$5:$H$19,MATCH($B196,Obras!$A$5:$A$19,0))&gt;$L196,"VENCIDA",IF($L196-INDEX(Obras!$H$5:$H$19,MATCH($B196,Obras!$A$5:$A$19,0))&lt;=0.5,"VENCE EM ATÉ 6 MESES","VIGENTE"))),""))</x:f>
      </x:c>
      <x:c r="N196" s="268"/>
    </x:row>
    <x:row r="197" ht="30" customHeight="1">
      <x:c r="A197" s="176" t="str">
        <x:f>IF(OR($B197="",$C197=""),"","LC-"&amp;TEXT(193,"0000"))</x:f>
      </x:c>
      <x:c r="B197" s="259"/>
      <x:c r="C197" s="259"/>
      <x:c r="D197" s="271" t="str">
        <x:f>IF($B197="","",IFERROR(IF(INDEX(Obras!$G$5:$G$19,MATCH($B197,Obras!$A$5:$A$19,0))="","",INDEX(Obras!$G$5:$G$19,MATCH($B197,Obras!$A$5:$A$19,0))),""))</x:f>
      </x:c>
      <x:c r="E197" s="259"/>
      <x:c r="F197" s="268"/>
      <x:c r="G197" s="259"/>
      <x:c r="H197" s="259"/>
      <x:c r="I197" s="259"/>
      <x:c r="J197" s="181" t="str">
        <x:f t="shared" ref="J197:J260" si="6">IF(COUNT($G197:$I197)=3,$G197*$H197*$I197,"")</x:f>
      </x:c>
      <x:c r="K197" s="176" t="str">
        <x:f t="shared" ref="K197:K260" si="7">IF($J197="","",IF($J197&gt;=512,"Prioridade 1",IF($J197&gt;=108,"Prioridade 2","Prioridade 3")))</x:f>
      </x:c>
      <x:c r="L197" s="181" t="str">
        <x:f>IF($C197="","",IFERROR(IF(INDEX(Catalogo!$H$5:$H$86,MATCH($C197,Catalogo!$A$5:$A$86,0))="","",INDEX(Catalogo!$H$5:$H$86,MATCH($C197,Catalogo!$A$5:$A$86,0))),""))</x:f>
      </x:c>
      <x:c r="M197" s="176" t="str">
        <x:f>IF(OR($B197="",$L197=""),"",IFERROR(IF(INDEX(Obras!$H$5:$H$19,MATCH($B197,Obras!$A$5:$A$19,0))="","",IF(INDEX(Obras!$H$5:$H$19,MATCH($B197,Obras!$A$5:$A$19,0))&gt;$L197,"VENCIDA",IF($L197-INDEX(Obras!$H$5:$H$19,MATCH($B197,Obras!$A$5:$A$19,0))&lt;=0.5,"VENCE EM ATÉ 6 MESES","VIGENTE"))),""))</x:f>
      </x:c>
      <x:c r="N197" s="268"/>
    </x:row>
    <x:row r="198" ht="30" customHeight="1">
      <x:c r="A198" s="176" t="str">
        <x:f>IF(OR($B198="",$C198=""),"","LC-"&amp;TEXT(194,"0000"))</x:f>
      </x:c>
      <x:c r="B198" s="259"/>
      <x:c r="C198" s="259"/>
      <x:c r="D198" s="271" t="str">
        <x:f>IF($B198="","",IFERROR(IF(INDEX(Obras!$G$5:$G$19,MATCH($B198,Obras!$A$5:$A$19,0))="","",INDEX(Obras!$G$5:$G$19,MATCH($B198,Obras!$A$5:$A$19,0))),""))</x:f>
      </x:c>
      <x:c r="E198" s="259"/>
      <x:c r="F198" s="268"/>
      <x:c r="G198" s="259"/>
      <x:c r="H198" s="259"/>
      <x:c r="I198" s="259"/>
      <x:c r="J198" s="181" t="str">
        <x:f t="shared" si="6"/>
      </x:c>
      <x:c r="K198" s="176" t="str">
        <x:f t="shared" si="7"/>
      </x:c>
      <x:c r="L198" s="181" t="str">
        <x:f>IF($C198="","",IFERROR(IF(INDEX(Catalogo!$H$5:$H$86,MATCH($C198,Catalogo!$A$5:$A$86,0))="","",INDEX(Catalogo!$H$5:$H$86,MATCH($C198,Catalogo!$A$5:$A$86,0))),""))</x:f>
      </x:c>
      <x:c r="M198" s="176" t="str">
        <x:f>IF(OR($B198="",$L198=""),"",IFERROR(IF(INDEX(Obras!$H$5:$H$19,MATCH($B198,Obras!$A$5:$A$19,0))="","",IF(INDEX(Obras!$H$5:$H$19,MATCH($B198,Obras!$A$5:$A$19,0))&gt;$L198,"VENCIDA",IF($L198-INDEX(Obras!$H$5:$H$19,MATCH($B198,Obras!$A$5:$A$19,0))&lt;=0.5,"VENCE EM ATÉ 6 MESES","VIGENTE"))),""))</x:f>
      </x:c>
      <x:c r="N198" s="268"/>
    </x:row>
    <x:row r="199" ht="30" customHeight="1">
      <x:c r="A199" s="176" t="str">
        <x:f>IF(OR($B199="",$C199=""),"","LC-"&amp;TEXT(195,"0000"))</x:f>
      </x:c>
      <x:c r="B199" s="259"/>
      <x:c r="C199" s="259"/>
      <x:c r="D199" s="271" t="str">
        <x:f>IF($B199="","",IFERROR(IF(INDEX(Obras!$G$5:$G$19,MATCH($B199,Obras!$A$5:$A$19,0))="","",INDEX(Obras!$G$5:$G$19,MATCH($B199,Obras!$A$5:$A$19,0))),""))</x:f>
      </x:c>
      <x:c r="E199" s="259"/>
      <x:c r="F199" s="268"/>
      <x:c r="G199" s="259"/>
      <x:c r="H199" s="259"/>
      <x:c r="I199" s="259"/>
      <x:c r="J199" s="181" t="str">
        <x:f t="shared" si="6"/>
      </x:c>
      <x:c r="K199" s="176" t="str">
        <x:f t="shared" si="7"/>
      </x:c>
      <x:c r="L199" s="181" t="str">
        <x:f>IF($C199="","",IFERROR(IF(INDEX(Catalogo!$H$5:$H$86,MATCH($C199,Catalogo!$A$5:$A$86,0))="","",INDEX(Catalogo!$H$5:$H$86,MATCH($C199,Catalogo!$A$5:$A$86,0))),""))</x:f>
      </x:c>
      <x:c r="M199" s="176" t="str">
        <x:f>IF(OR($B199="",$L199=""),"",IFERROR(IF(INDEX(Obras!$H$5:$H$19,MATCH($B199,Obras!$A$5:$A$19,0))="","",IF(INDEX(Obras!$H$5:$H$19,MATCH($B199,Obras!$A$5:$A$19,0))&gt;$L199,"VENCIDA",IF($L199-INDEX(Obras!$H$5:$H$19,MATCH($B199,Obras!$A$5:$A$19,0))&lt;=0.5,"VENCE EM ATÉ 6 MESES","VIGENTE"))),""))</x:f>
      </x:c>
      <x:c r="N199" s="268"/>
    </x:row>
    <x:row r="200" ht="30" customHeight="1">
      <x:c r="A200" s="176" t="str">
        <x:f>IF(OR($B200="",$C200=""),"","LC-"&amp;TEXT(196,"0000"))</x:f>
      </x:c>
      <x:c r="B200" s="259"/>
      <x:c r="C200" s="259"/>
      <x:c r="D200" s="271" t="str">
        <x:f>IF($B200="","",IFERROR(IF(INDEX(Obras!$G$5:$G$19,MATCH($B200,Obras!$A$5:$A$19,0))="","",INDEX(Obras!$G$5:$G$19,MATCH($B200,Obras!$A$5:$A$19,0))),""))</x:f>
      </x:c>
      <x:c r="E200" s="259"/>
      <x:c r="F200" s="268"/>
      <x:c r="G200" s="259"/>
      <x:c r="H200" s="259"/>
      <x:c r="I200" s="259"/>
      <x:c r="J200" s="181" t="str">
        <x:f t="shared" si="6"/>
      </x:c>
      <x:c r="K200" s="176" t="str">
        <x:f t="shared" si="7"/>
      </x:c>
      <x:c r="L200" s="181" t="str">
        <x:f>IF($C200="","",IFERROR(IF(INDEX(Catalogo!$H$5:$H$86,MATCH($C200,Catalogo!$A$5:$A$86,0))="","",INDEX(Catalogo!$H$5:$H$86,MATCH($C200,Catalogo!$A$5:$A$86,0))),""))</x:f>
      </x:c>
      <x:c r="M200" s="176" t="str">
        <x:f>IF(OR($B200="",$L200=""),"",IFERROR(IF(INDEX(Obras!$H$5:$H$19,MATCH($B200,Obras!$A$5:$A$19,0))="","",IF(INDEX(Obras!$H$5:$H$19,MATCH($B200,Obras!$A$5:$A$19,0))&gt;$L200,"VENCIDA",IF($L200-INDEX(Obras!$H$5:$H$19,MATCH($B200,Obras!$A$5:$A$19,0))&lt;=0.5,"VENCE EM ATÉ 6 MESES","VIGENTE"))),""))</x:f>
      </x:c>
      <x:c r="N200" s="268"/>
    </x:row>
    <x:row r="201" ht="30" customHeight="1">
      <x:c r="A201" s="176" t="str">
        <x:f>IF(OR($B201="",$C201=""),"","LC-"&amp;TEXT(197,"0000"))</x:f>
      </x:c>
      <x:c r="B201" s="259"/>
      <x:c r="C201" s="259"/>
      <x:c r="D201" s="271" t="str">
        <x:f>IF($B201="","",IFERROR(IF(INDEX(Obras!$G$5:$G$19,MATCH($B201,Obras!$A$5:$A$19,0))="","",INDEX(Obras!$G$5:$G$19,MATCH($B201,Obras!$A$5:$A$19,0))),""))</x:f>
      </x:c>
      <x:c r="E201" s="259"/>
      <x:c r="F201" s="268"/>
      <x:c r="G201" s="259"/>
      <x:c r="H201" s="259"/>
      <x:c r="I201" s="259"/>
      <x:c r="J201" s="181" t="str">
        <x:f t="shared" si="6"/>
      </x:c>
      <x:c r="K201" s="176" t="str">
        <x:f t="shared" si="7"/>
      </x:c>
      <x:c r="L201" s="181" t="str">
        <x:f>IF($C201="","",IFERROR(IF(INDEX(Catalogo!$H$5:$H$86,MATCH($C201,Catalogo!$A$5:$A$86,0))="","",INDEX(Catalogo!$H$5:$H$86,MATCH($C201,Catalogo!$A$5:$A$86,0))),""))</x:f>
      </x:c>
      <x:c r="M201" s="176" t="str">
        <x:f>IF(OR($B201="",$L201=""),"",IFERROR(IF(INDEX(Obras!$H$5:$H$19,MATCH($B201,Obras!$A$5:$A$19,0))="","",IF(INDEX(Obras!$H$5:$H$19,MATCH($B201,Obras!$A$5:$A$19,0))&gt;$L201,"VENCIDA",IF($L201-INDEX(Obras!$H$5:$H$19,MATCH($B201,Obras!$A$5:$A$19,0))&lt;=0.5,"VENCE EM ATÉ 6 MESES","VIGENTE"))),""))</x:f>
      </x:c>
      <x:c r="N201" s="268"/>
    </x:row>
    <x:row r="202" ht="30" customHeight="1">
      <x:c r="A202" s="176" t="str">
        <x:f>IF(OR($B202="",$C202=""),"","LC-"&amp;TEXT(198,"0000"))</x:f>
      </x:c>
      <x:c r="B202" s="259"/>
      <x:c r="C202" s="259"/>
      <x:c r="D202" s="271" t="str">
        <x:f>IF($B202="","",IFERROR(IF(INDEX(Obras!$G$5:$G$19,MATCH($B202,Obras!$A$5:$A$19,0))="","",INDEX(Obras!$G$5:$G$19,MATCH($B202,Obras!$A$5:$A$19,0))),""))</x:f>
      </x:c>
      <x:c r="E202" s="259"/>
      <x:c r="F202" s="268"/>
      <x:c r="G202" s="259"/>
      <x:c r="H202" s="259"/>
      <x:c r="I202" s="259"/>
      <x:c r="J202" s="181" t="str">
        <x:f t="shared" si="6"/>
      </x:c>
      <x:c r="K202" s="176" t="str">
        <x:f t="shared" si="7"/>
      </x:c>
      <x:c r="L202" s="181" t="str">
        <x:f>IF($C202="","",IFERROR(IF(INDEX(Catalogo!$H$5:$H$86,MATCH($C202,Catalogo!$A$5:$A$86,0))="","",INDEX(Catalogo!$H$5:$H$86,MATCH($C202,Catalogo!$A$5:$A$86,0))),""))</x:f>
      </x:c>
      <x:c r="M202" s="176" t="str">
        <x:f>IF(OR($B202="",$L202=""),"",IFERROR(IF(INDEX(Obras!$H$5:$H$19,MATCH($B202,Obras!$A$5:$A$19,0))="","",IF(INDEX(Obras!$H$5:$H$19,MATCH($B202,Obras!$A$5:$A$19,0))&gt;$L202,"VENCIDA",IF($L202-INDEX(Obras!$H$5:$H$19,MATCH($B202,Obras!$A$5:$A$19,0))&lt;=0.5,"VENCE EM ATÉ 6 MESES","VIGENTE"))),""))</x:f>
      </x:c>
      <x:c r="N202" s="268"/>
    </x:row>
    <x:row r="203" ht="30" customHeight="1">
      <x:c r="A203" s="176" t="str">
        <x:f>IF(OR($B203="",$C203=""),"","LC-"&amp;TEXT(199,"0000"))</x:f>
      </x:c>
      <x:c r="B203" s="259"/>
      <x:c r="C203" s="259"/>
      <x:c r="D203" s="271" t="str">
        <x:f>IF($B203="","",IFERROR(IF(INDEX(Obras!$G$5:$G$19,MATCH($B203,Obras!$A$5:$A$19,0))="","",INDEX(Obras!$G$5:$G$19,MATCH($B203,Obras!$A$5:$A$19,0))),""))</x:f>
      </x:c>
      <x:c r="E203" s="259"/>
      <x:c r="F203" s="268"/>
      <x:c r="G203" s="259"/>
      <x:c r="H203" s="259"/>
      <x:c r="I203" s="259"/>
      <x:c r="J203" s="181" t="str">
        <x:f t="shared" si="6"/>
      </x:c>
      <x:c r="K203" s="176" t="str">
        <x:f t="shared" si="7"/>
      </x:c>
      <x:c r="L203" s="181" t="str">
        <x:f>IF($C203="","",IFERROR(IF(INDEX(Catalogo!$H$5:$H$86,MATCH($C203,Catalogo!$A$5:$A$86,0))="","",INDEX(Catalogo!$H$5:$H$86,MATCH($C203,Catalogo!$A$5:$A$86,0))),""))</x:f>
      </x:c>
      <x:c r="M203" s="176" t="str">
        <x:f>IF(OR($B203="",$L203=""),"",IFERROR(IF(INDEX(Obras!$H$5:$H$19,MATCH($B203,Obras!$A$5:$A$19,0))="","",IF(INDEX(Obras!$H$5:$H$19,MATCH($B203,Obras!$A$5:$A$19,0))&gt;$L203,"VENCIDA",IF($L203-INDEX(Obras!$H$5:$H$19,MATCH($B203,Obras!$A$5:$A$19,0))&lt;=0.5,"VENCE EM ATÉ 6 MESES","VIGENTE"))),""))</x:f>
      </x:c>
      <x:c r="N203" s="268"/>
    </x:row>
    <x:row r="204" ht="30" customHeight="1">
      <x:c r="A204" s="176" t="str">
        <x:f>IF(OR($B204="",$C204=""),"","LC-"&amp;TEXT(200,"0000"))</x:f>
      </x:c>
      <x:c r="B204" s="259"/>
      <x:c r="C204" s="259"/>
      <x:c r="D204" s="271" t="str">
        <x:f>IF($B204="","",IFERROR(IF(INDEX(Obras!$G$5:$G$19,MATCH($B204,Obras!$A$5:$A$19,0))="","",INDEX(Obras!$G$5:$G$19,MATCH($B204,Obras!$A$5:$A$19,0))),""))</x:f>
      </x:c>
      <x:c r="E204" s="259"/>
      <x:c r="F204" s="268"/>
      <x:c r="G204" s="259"/>
      <x:c r="H204" s="259"/>
      <x:c r="I204" s="259"/>
      <x:c r="J204" s="181" t="str">
        <x:f t="shared" si="6"/>
      </x:c>
      <x:c r="K204" s="176" t="str">
        <x:f t="shared" si="7"/>
      </x:c>
      <x:c r="L204" s="181" t="str">
        <x:f>IF($C204="","",IFERROR(IF(INDEX(Catalogo!$H$5:$H$86,MATCH($C204,Catalogo!$A$5:$A$86,0))="","",INDEX(Catalogo!$H$5:$H$86,MATCH($C204,Catalogo!$A$5:$A$86,0))),""))</x:f>
      </x:c>
      <x:c r="M204" s="176" t="str">
        <x:f>IF(OR($B204="",$L204=""),"",IFERROR(IF(INDEX(Obras!$H$5:$H$19,MATCH($B204,Obras!$A$5:$A$19,0))="","",IF(INDEX(Obras!$H$5:$H$19,MATCH($B204,Obras!$A$5:$A$19,0))&gt;$L204,"VENCIDA",IF($L204-INDEX(Obras!$H$5:$H$19,MATCH($B204,Obras!$A$5:$A$19,0))&lt;=0.5,"VENCE EM ATÉ 6 MESES","VIGENTE"))),""))</x:f>
      </x:c>
      <x:c r="N204" s="268"/>
    </x:row>
    <x:row r="205" ht="30" customHeight="1">
      <x:c r="A205" s="176" t="str">
        <x:f>IF(OR($B205="",$C205=""),"","LC-"&amp;TEXT(201,"0000"))</x:f>
      </x:c>
      <x:c r="B205" s="259"/>
      <x:c r="C205" s="259"/>
      <x:c r="D205" s="271" t="str">
        <x:f>IF($B205="","",IFERROR(IF(INDEX(Obras!$G$5:$G$19,MATCH($B205,Obras!$A$5:$A$19,0))="","",INDEX(Obras!$G$5:$G$19,MATCH($B205,Obras!$A$5:$A$19,0))),""))</x:f>
      </x:c>
      <x:c r="E205" s="259"/>
      <x:c r="F205" s="268"/>
      <x:c r="G205" s="259"/>
      <x:c r="H205" s="259"/>
      <x:c r="I205" s="259"/>
      <x:c r="J205" s="181" t="str">
        <x:f t="shared" si="6"/>
      </x:c>
      <x:c r="K205" s="176" t="str">
        <x:f t="shared" si="7"/>
      </x:c>
      <x:c r="L205" s="181" t="str">
        <x:f>IF($C205="","",IFERROR(IF(INDEX(Catalogo!$H$5:$H$86,MATCH($C205,Catalogo!$A$5:$A$86,0))="","",INDEX(Catalogo!$H$5:$H$86,MATCH($C205,Catalogo!$A$5:$A$86,0))),""))</x:f>
      </x:c>
      <x:c r="M205" s="176" t="str">
        <x:f>IF(OR($B205="",$L205=""),"",IFERROR(IF(INDEX(Obras!$H$5:$H$19,MATCH($B205,Obras!$A$5:$A$19,0))="","",IF(INDEX(Obras!$H$5:$H$19,MATCH($B205,Obras!$A$5:$A$19,0))&gt;$L205,"VENCIDA",IF($L205-INDEX(Obras!$H$5:$H$19,MATCH($B205,Obras!$A$5:$A$19,0))&lt;=0.5,"VENCE EM ATÉ 6 MESES","VIGENTE"))),""))</x:f>
      </x:c>
      <x:c r="N205" s="268"/>
    </x:row>
    <x:row r="206" ht="30" customHeight="1">
      <x:c r="A206" s="176" t="str">
        <x:f>IF(OR($B206="",$C206=""),"","LC-"&amp;TEXT(202,"0000"))</x:f>
      </x:c>
      <x:c r="B206" s="259"/>
      <x:c r="C206" s="259"/>
      <x:c r="D206" s="271" t="str">
        <x:f>IF($B206="","",IFERROR(IF(INDEX(Obras!$G$5:$G$19,MATCH($B206,Obras!$A$5:$A$19,0))="","",INDEX(Obras!$G$5:$G$19,MATCH($B206,Obras!$A$5:$A$19,0))),""))</x:f>
      </x:c>
      <x:c r="E206" s="259"/>
      <x:c r="F206" s="268"/>
      <x:c r="G206" s="259"/>
      <x:c r="H206" s="259"/>
      <x:c r="I206" s="259"/>
      <x:c r="J206" s="181" t="str">
        <x:f t="shared" si="6"/>
      </x:c>
      <x:c r="K206" s="176" t="str">
        <x:f t="shared" si="7"/>
      </x:c>
      <x:c r="L206" s="181" t="str">
        <x:f>IF($C206="","",IFERROR(IF(INDEX(Catalogo!$H$5:$H$86,MATCH($C206,Catalogo!$A$5:$A$86,0))="","",INDEX(Catalogo!$H$5:$H$86,MATCH($C206,Catalogo!$A$5:$A$86,0))),""))</x:f>
      </x:c>
      <x:c r="M206" s="176" t="str">
        <x:f>IF(OR($B206="",$L206=""),"",IFERROR(IF(INDEX(Obras!$H$5:$H$19,MATCH($B206,Obras!$A$5:$A$19,0))="","",IF(INDEX(Obras!$H$5:$H$19,MATCH($B206,Obras!$A$5:$A$19,0))&gt;$L206,"VENCIDA",IF($L206-INDEX(Obras!$H$5:$H$19,MATCH($B206,Obras!$A$5:$A$19,0))&lt;=0.5,"VENCE EM ATÉ 6 MESES","VIGENTE"))),""))</x:f>
      </x:c>
      <x:c r="N206" s="268"/>
    </x:row>
    <x:row r="207" ht="30" customHeight="1">
      <x:c r="A207" s="176" t="str">
        <x:f>IF(OR($B207="",$C207=""),"","LC-"&amp;TEXT(203,"0000"))</x:f>
      </x:c>
      <x:c r="B207" s="259"/>
      <x:c r="C207" s="259"/>
      <x:c r="D207" s="271" t="str">
        <x:f>IF($B207="","",IFERROR(IF(INDEX(Obras!$G$5:$G$19,MATCH($B207,Obras!$A$5:$A$19,0))="","",INDEX(Obras!$G$5:$G$19,MATCH($B207,Obras!$A$5:$A$19,0))),""))</x:f>
      </x:c>
      <x:c r="E207" s="259"/>
      <x:c r="F207" s="268"/>
      <x:c r="G207" s="259"/>
      <x:c r="H207" s="259"/>
      <x:c r="I207" s="259"/>
      <x:c r="J207" s="181" t="str">
        <x:f t="shared" si="6"/>
      </x:c>
      <x:c r="K207" s="176" t="str">
        <x:f t="shared" si="7"/>
      </x:c>
      <x:c r="L207" s="181" t="str">
        <x:f>IF($C207="","",IFERROR(IF(INDEX(Catalogo!$H$5:$H$86,MATCH($C207,Catalogo!$A$5:$A$86,0))="","",INDEX(Catalogo!$H$5:$H$86,MATCH($C207,Catalogo!$A$5:$A$86,0))),""))</x:f>
      </x:c>
      <x:c r="M207" s="176" t="str">
        <x:f>IF(OR($B207="",$L207=""),"",IFERROR(IF(INDEX(Obras!$H$5:$H$19,MATCH($B207,Obras!$A$5:$A$19,0))="","",IF(INDEX(Obras!$H$5:$H$19,MATCH($B207,Obras!$A$5:$A$19,0))&gt;$L207,"VENCIDA",IF($L207-INDEX(Obras!$H$5:$H$19,MATCH($B207,Obras!$A$5:$A$19,0))&lt;=0.5,"VENCE EM ATÉ 6 MESES","VIGENTE"))),""))</x:f>
      </x:c>
      <x:c r="N207" s="268"/>
    </x:row>
    <x:row r="208" ht="30" customHeight="1">
      <x:c r="A208" s="176" t="str">
        <x:f>IF(OR($B208="",$C208=""),"","LC-"&amp;TEXT(204,"0000"))</x:f>
      </x:c>
      <x:c r="B208" s="259"/>
      <x:c r="C208" s="259"/>
      <x:c r="D208" s="271" t="str">
        <x:f>IF($B208="","",IFERROR(IF(INDEX(Obras!$G$5:$G$19,MATCH($B208,Obras!$A$5:$A$19,0))="","",INDEX(Obras!$G$5:$G$19,MATCH($B208,Obras!$A$5:$A$19,0))),""))</x:f>
      </x:c>
      <x:c r="E208" s="259"/>
      <x:c r="F208" s="268"/>
      <x:c r="G208" s="259"/>
      <x:c r="H208" s="259"/>
      <x:c r="I208" s="259"/>
      <x:c r="J208" s="181" t="str">
        <x:f t="shared" si="6"/>
      </x:c>
      <x:c r="K208" s="176" t="str">
        <x:f t="shared" si="7"/>
      </x:c>
      <x:c r="L208" s="181" t="str">
        <x:f>IF($C208="","",IFERROR(IF(INDEX(Catalogo!$H$5:$H$86,MATCH($C208,Catalogo!$A$5:$A$86,0))="","",INDEX(Catalogo!$H$5:$H$86,MATCH($C208,Catalogo!$A$5:$A$86,0))),""))</x:f>
      </x:c>
      <x:c r="M208" s="176" t="str">
        <x:f>IF(OR($B208="",$L208=""),"",IFERROR(IF(INDEX(Obras!$H$5:$H$19,MATCH($B208,Obras!$A$5:$A$19,0))="","",IF(INDEX(Obras!$H$5:$H$19,MATCH($B208,Obras!$A$5:$A$19,0))&gt;$L208,"VENCIDA",IF($L208-INDEX(Obras!$H$5:$H$19,MATCH($B208,Obras!$A$5:$A$19,0))&lt;=0.5,"VENCE EM ATÉ 6 MESES","VIGENTE"))),""))</x:f>
      </x:c>
      <x:c r="N208" s="268"/>
    </x:row>
    <x:row r="209" ht="30" customHeight="1">
      <x:c r="A209" s="176" t="str">
        <x:f>IF(OR($B209="",$C209=""),"","LC-"&amp;TEXT(205,"0000"))</x:f>
      </x:c>
      <x:c r="B209" s="259"/>
      <x:c r="C209" s="259"/>
      <x:c r="D209" s="271" t="str">
        <x:f>IF($B209="","",IFERROR(IF(INDEX(Obras!$G$5:$G$19,MATCH($B209,Obras!$A$5:$A$19,0))="","",INDEX(Obras!$G$5:$G$19,MATCH($B209,Obras!$A$5:$A$19,0))),""))</x:f>
      </x:c>
      <x:c r="E209" s="259"/>
      <x:c r="F209" s="268"/>
      <x:c r="G209" s="259"/>
      <x:c r="H209" s="259"/>
      <x:c r="I209" s="259"/>
      <x:c r="J209" s="181" t="str">
        <x:f t="shared" si="6"/>
      </x:c>
      <x:c r="K209" s="176" t="str">
        <x:f t="shared" si="7"/>
      </x:c>
      <x:c r="L209" s="181" t="str">
        <x:f>IF($C209="","",IFERROR(IF(INDEX(Catalogo!$H$5:$H$86,MATCH($C209,Catalogo!$A$5:$A$86,0))="","",INDEX(Catalogo!$H$5:$H$86,MATCH($C209,Catalogo!$A$5:$A$86,0))),""))</x:f>
      </x:c>
      <x:c r="M209" s="176" t="str">
        <x:f>IF(OR($B209="",$L209=""),"",IFERROR(IF(INDEX(Obras!$H$5:$H$19,MATCH($B209,Obras!$A$5:$A$19,0))="","",IF(INDEX(Obras!$H$5:$H$19,MATCH($B209,Obras!$A$5:$A$19,0))&gt;$L209,"VENCIDA",IF($L209-INDEX(Obras!$H$5:$H$19,MATCH($B209,Obras!$A$5:$A$19,0))&lt;=0.5,"VENCE EM ATÉ 6 MESES","VIGENTE"))),""))</x:f>
      </x:c>
      <x:c r="N209" s="268"/>
    </x:row>
    <x:row r="210" ht="30" customHeight="1">
      <x:c r="A210" s="176" t="str">
        <x:f>IF(OR($B210="",$C210=""),"","LC-"&amp;TEXT(206,"0000"))</x:f>
      </x:c>
      <x:c r="B210" s="259"/>
      <x:c r="C210" s="259"/>
      <x:c r="D210" s="271" t="str">
        <x:f>IF($B210="","",IFERROR(IF(INDEX(Obras!$G$5:$G$19,MATCH($B210,Obras!$A$5:$A$19,0))="","",INDEX(Obras!$G$5:$G$19,MATCH($B210,Obras!$A$5:$A$19,0))),""))</x:f>
      </x:c>
      <x:c r="E210" s="259"/>
      <x:c r="F210" s="268"/>
      <x:c r="G210" s="259"/>
      <x:c r="H210" s="259"/>
      <x:c r="I210" s="259"/>
      <x:c r="J210" s="181" t="str">
        <x:f t="shared" si="6"/>
      </x:c>
      <x:c r="K210" s="176" t="str">
        <x:f t="shared" si="7"/>
      </x:c>
      <x:c r="L210" s="181" t="str">
        <x:f>IF($C210="","",IFERROR(IF(INDEX(Catalogo!$H$5:$H$86,MATCH($C210,Catalogo!$A$5:$A$86,0))="","",INDEX(Catalogo!$H$5:$H$86,MATCH($C210,Catalogo!$A$5:$A$86,0))),""))</x:f>
      </x:c>
      <x:c r="M210" s="176" t="str">
        <x:f>IF(OR($B210="",$L210=""),"",IFERROR(IF(INDEX(Obras!$H$5:$H$19,MATCH($B210,Obras!$A$5:$A$19,0))="","",IF(INDEX(Obras!$H$5:$H$19,MATCH($B210,Obras!$A$5:$A$19,0))&gt;$L210,"VENCIDA",IF($L210-INDEX(Obras!$H$5:$H$19,MATCH($B210,Obras!$A$5:$A$19,0))&lt;=0.5,"VENCE EM ATÉ 6 MESES","VIGENTE"))),""))</x:f>
      </x:c>
      <x:c r="N210" s="268"/>
    </x:row>
    <x:row r="211" ht="30" customHeight="1">
      <x:c r="A211" s="176" t="str">
        <x:f>IF(OR($B211="",$C211=""),"","LC-"&amp;TEXT(207,"0000"))</x:f>
      </x:c>
      <x:c r="B211" s="259"/>
      <x:c r="C211" s="259"/>
      <x:c r="D211" s="271" t="str">
        <x:f>IF($B211="","",IFERROR(IF(INDEX(Obras!$G$5:$G$19,MATCH($B211,Obras!$A$5:$A$19,0))="","",INDEX(Obras!$G$5:$G$19,MATCH($B211,Obras!$A$5:$A$19,0))),""))</x:f>
      </x:c>
      <x:c r="E211" s="259"/>
      <x:c r="F211" s="268"/>
      <x:c r="G211" s="259"/>
      <x:c r="H211" s="259"/>
      <x:c r="I211" s="259"/>
      <x:c r="J211" s="181" t="str">
        <x:f t="shared" si="6"/>
      </x:c>
      <x:c r="K211" s="176" t="str">
        <x:f t="shared" si="7"/>
      </x:c>
      <x:c r="L211" s="181" t="str">
        <x:f>IF($C211="","",IFERROR(IF(INDEX(Catalogo!$H$5:$H$86,MATCH($C211,Catalogo!$A$5:$A$86,0))="","",INDEX(Catalogo!$H$5:$H$86,MATCH($C211,Catalogo!$A$5:$A$86,0))),""))</x:f>
      </x:c>
      <x:c r="M211" s="176" t="str">
        <x:f>IF(OR($B211="",$L211=""),"",IFERROR(IF(INDEX(Obras!$H$5:$H$19,MATCH($B211,Obras!$A$5:$A$19,0))="","",IF(INDEX(Obras!$H$5:$H$19,MATCH($B211,Obras!$A$5:$A$19,0))&gt;$L211,"VENCIDA",IF($L211-INDEX(Obras!$H$5:$H$19,MATCH($B211,Obras!$A$5:$A$19,0))&lt;=0.5,"VENCE EM ATÉ 6 MESES","VIGENTE"))),""))</x:f>
      </x:c>
      <x:c r="N211" s="268"/>
    </x:row>
    <x:row r="212" ht="30" customHeight="1">
      <x:c r="A212" s="176" t="str">
        <x:f>IF(OR($B212="",$C212=""),"","LC-"&amp;TEXT(208,"0000"))</x:f>
      </x:c>
      <x:c r="B212" s="259"/>
      <x:c r="C212" s="259"/>
      <x:c r="D212" s="271" t="str">
        <x:f>IF($B212="","",IFERROR(IF(INDEX(Obras!$G$5:$G$19,MATCH($B212,Obras!$A$5:$A$19,0))="","",INDEX(Obras!$G$5:$G$19,MATCH($B212,Obras!$A$5:$A$19,0))),""))</x:f>
      </x:c>
      <x:c r="E212" s="259"/>
      <x:c r="F212" s="268"/>
      <x:c r="G212" s="259"/>
      <x:c r="H212" s="259"/>
      <x:c r="I212" s="259"/>
      <x:c r="J212" s="181" t="str">
        <x:f t="shared" si="6"/>
      </x:c>
      <x:c r="K212" s="176" t="str">
        <x:f t="shared" si="7"/>
      </x:c>
      <x:c r="L212" s="181" t="str">
        <x:f>IF($C212="","",IFERROR(IF(INDEX(Catalogo!$H$5:$H$86,MATCH($C212,Catalogo!$A$5:$A$86,0))="","",INDEX(Catalogo!$H$5:$H$86,MATCH($C212,Catalogo!$A$5:$A$86,0))),""))</x:f>
      </x:c>
      <x:c r="M212" s="176" t="str">
        <x:f>IF(OR($B212="",$L212=""),"",IFERROR(IF(INDEX(Obras!$H$5:$H$19,MATCH($B212,Obras!$A$5:$A$19,0))="","",IF(INDEX(Obras!$H$5:$H$19,MATCH($B212,Obras!$A$5:$A$19,0))&gt;$L212,"VENCIDA",IF($L212-INDEX(Obras!$H$5:$H$19,MATCH($B212,Obras!$A$5:$A$19,0))&lt;=0.5,"VENCE EM ATÉ 6 MESES","VIGENTE"))),""))</x:f>
      </x:c>
      <x:c r="N212" s="268"/>
    </x:row>
    <x:row r="213" ht="30" customHeight="1">
      <x:c r="A213" s="176" t="str">
        <x:f>IF(OR($B213="",$C213=""),"","LC-"&amp;TEXT(209,"0000"))</x:f>
      </x:c>
      <x:c r="B213" s="259"/>
      <x:c r="C213" s="259"/>
      <x:c r="D213" s="271" t="str">
        <x:f>IF($B213="","",IFERROR(IF(INDEX(Obras!$G$5:$G$19,MATCH($B213,Obras!$A$5:$A$19,0))="","",INDEX(Obras!$G$5:$G$19,MATCH($B213,Obras!$A$5:$A$19,0))),""))</x:f>
      </x:c>
      <x:c r="E213" s="259"/>
      <x:c r="F213" s="268"/>
      <x:c r="G213" s="259"/>
      <x:c r="H213" s="259"/>
      <x:c r="I213" s="259"/>
      <x:c r="J213" s="181" t="str">
        <x:f t="shared" si="6"/>
      </x:c>
      <x:c r="K213" s="176" t="str">
        <x:f t="shared" si="7"/>
      </x:c>
      <x:c r="L213" s="181" t="str">
        <x:f>IF($C213="","",IFERROR(IF(INDEX(Catalogo!$H$5:$H$86,MATCH($C213,Catalogo!$A$5:$A$86,0))="","",INDEX(Catalogo!$H$5:$H$86,MATCH($C213,Catalogo!$A$5:$A$86,0))),""))</x:f>
      </x:c>
      <x:c r="M213" s="176" t="str">
        <x:f>IF(OR($B213="",$L213=""),"",IFERROR(IF(INDEX(Obras!$H$5:$H$19,MATCH($B213,Obras!$A$5:$A$19,0))="","",IF(INDEX(Obras!$H$5:$H$19,MATCH($B213,Obras!$A$5:$A$19,0))&gt;$L213,"VENCIDA",IF($L213-INDEX(Obras!$H$5:$H$19,MATCH($B213,Obras!$A$5:$A$19,0))&lt;=0.5,"VENCE EM ATÉ 6 MESES","VIGENTE"))),""))</x:f>
      </x:c>
      <x:c r="N213" s="268"/>
    </x:row>
    <x:row r="214" ht="30" customHeight="1">
      <x:c r="A214" s="176" t="str">
        <x:f>IF(OR($B214="",$C214=""),"","LC-"&amp;TEXT(210,"0000"))</x:f>
      </x:c>
      <x:c r="B214" s="259"/>
      <x:c r="C214" s="259"/>
      <x:c r="D214" s="271" t="str">
        <x:f>IF($B214="","",IFERROR(IF(INDEX(Obras!$G$5:$G$19,MATCH($B214,Obras!$A$5:$A$19,0))="","",INDEX(Obras!$G$5:$G$19,MATCH($B214,Obras!$A$5:$A$19,0))),""))</x:f>
      </x:c>
      <x:c r="E214" s="259"/>
      <x:c r="F214" s="268"/>
      <x:c r="G214" s="259"/>
      <x:c r="H214" s="259"/>
      <x:c r="I214" s="259"/>
      <x:c r="J214" s="181" t="str">
        <x:f t="shared" si="6"/>
      </x:c>
      <x:c r="K214" s="176" t="str">
        <x:f t="shared" si="7"/>
      </x:c>
      <x:c r="L214" s="181" t="str">
        <x:f>IF($C214="","",IFERROR(IF(INDEX(Catalogo!$H$5:$H$86,MATCH($C214,Catalogo!$A$5:$A$86,0))="","",INDEX(Catalogo!$H$5:$H$86,MATCH($C214,Catalogo!$A$5:$A$86,0))),""))</x:f>
      </x:c>
      <x:c r="M214" s="176" t="str">
        <x:f>IF(OR($B214="",$L214=""),"",IFERROR(IF(INDEX(Obras!$H$5:$H$19,MATCH($B214,Obras!$A$5:$A$19,0))="","",IF(INDEX(Obras!$H$5:$H$19,MATCH($B214,Obras!$A$5:$A$19,0))&gt;$L214,"VENCIDA",IF($L214-INDEX(Obras!$H$5:$H$19,MATCH($B214,Obras!$A$5:$A$19,0))&lt;=0.5,"VENCE EM ATÉ 6 MESES","VIGENTE"))),""))</x:f>
      </x:c>
      <x:c r="N214" s="268"/>
    </x:row>
    <x:row r="215" ht="30" customHeight="1">
      <x:c r="A215" s="176" t="str">
        <x:f>IF(OR($B215="",$C215=""),"","LC-"&amp;TEXT(211,"0000"))</x:f>
      </x:c>
      <x:c r="B215" s="259"/>
      <x:c r="C215" s="259"/>
      <x:c r="D215" s="271" t="str">
        <x:f>IF($B215="","",IFERROR(IF(INDEX(Obras!$G$5:$G$19,MATCH($B215,Obras!$A$5:$A$19,0))="","",INDEX(Obras!$G$5:$G$19,MATCH($B215,Obras!$A$5:$A$19,0))),""))</x:f>
      </x:c>
      <x:c r="E215" s="259"/>
      <x:c r="F215" s="268"/>
      <x:c r="G215" s="259"/>
      <x:c r="H215" s="259"/>
      <x:c r="I215" s="259"/>
      <x:c r="J215" s="181" t="str">
        <x:f t="shared" si="6"/>
      </x:c>
      <x:c r="K215" s="176" t="str">
        <x:f t="shared" si="7"/>
      </x:c>
      <x:c r="L215" s="181" t="str">
        <x:f>IF($C215="","",IFERROR(IF(INDEX(Catalogo!$H$5:$H$86,MATCH($C215,Catalogo!$A$5:$A$86,0))="","",INDEX(Catalogo!$H$5:$H$86,MATCH($C215,Catalogo!$A$5:$A$86,0))),""))</x:f>
      </x:c>
      <x:c r="M215" s="176" t="str">
        <x:f>IF(OR($B215="",$L215=""),"",IFERROR(IF(INDEX(Obras!$H$5:$H$19,MATCH($B215,Obras!$A$5:$A$19,0))="","",IF(INDEX(Obras!$H$5:$H$19,MATCH($B215,Obras!$A$5:$A$19,0))&gt;$L215,"VENCIDA",IF($L215-INDEX(Obras!$H$5:$H$19,MATCH($B215,Obras!$A$5:$A$19,0))&lt;=0.5,"VENCE EM ATÉ 6 MESES","VIGENTE"))),""))</x:f>
      </x:c>
      <x:c r="N215" s="268"/>
    </x:row>
    <x:row r="216" ht="30" customHeight="1">
      <x:c r="A216" s="176" t="str">
        <x:f>IF(OR($B216="",$C216=""),"","LC-"&amp;TEXT(212,"0000"))</x:f>
      </x:c>
      <x:c r="B216" s="259"/>
      <x:c r="C216" s="259"/>
      <x:c r="D216" s="271" t="str">
        <x:f>IF($B216="","",IFERROR(IF(INDEX(Obras!$G$5:$G$19,MATCH($B216,Obras!$A$5:$A$19,0))="","",INDEX(Obras!$G$5:$G$19,MATCH($B216,Obras!$A$5:$A$19,0))),""))</x:f>
      </x:c>
      <x:c r="E216" s="259"/>
      <x:c r="F216" s="268"/>
      <x:c r="G216" s="259"/>
      <x:c r="H216" s="259"/>
      <x:c r="I216" s="259"/>
      <x:c r="J216" s="181" t="str">
        <x:f t="shared" si="6"/>
      </x:c>
      <x:c r="K216" s="176" t="str">
        <x:f t="shared" si="7"/>
      </x:c>
      <x:c r="L216" s="181" t="str">
        <x:f>IF($C216="","",IFERROR(IF(INDEX(Catalogo!$H$5:$H$86,MATCH($C216,Catalogo!$A$5:$A$86,0))="","",INDEX(Catalogo!$H$5:$H$86,MATCH($C216,Catalogo!$A$5:$A$86,0))),""))</x:f>
      </x:c>
      <x:c r="M216" s="176" t="str">
        <x:f>IF(OR($B216="",$L216=""),"",IFERROR(IF(INDEX(Obras!$H$5:$H$19,MATCH($B216,Obras!$A$5:$A$19,0))="","",IF(INDEX(Obras!$H$5:$H$19,MATCH($B216,Obras!$A$5:$A$19,0))&gt;$L216,"VENCIDA",IF($L216-INDEX(Obras!$H$5:$H$19,MATCH($B216,Obras!$A$5:$A$19,0))&lt;=0.5,"VENCE EM ATÉ 6 MESES","VIGENTE"))),""))</x:f>
      </x:c>
      <x:c r="N216" s="268"/>
    </x:row>
    <x:row r="217" ht="30" customHeight="1">
      <x:c r="A217" s="176" t="str">
        <x:f>IF(OR($B217="",$C217=""),"","LC-"&amp;TEXT(213,"0000"))</x:f>
      </x:c>
      <x:c r="B217" s="259"/>
      <x:c r="C217" s="259"/>
      <x:c r="D217" s="271" t="str">
        <x:f>IF($B217="","",IFERROR(IF(INDEX(Obras!$G$5:$G$19,MATCH($B217,Obras!$A$5:$A$19,0))="","",INDEX(Obras!$G$5:$G$19,MATCH($B217,Obras!$A$5:$A$19,0))),""))</x:f>
      </x:c>
      <x:c r="E217" s="259"/>
      <x:c r="F217" s="268"/>
      <x:c r="G217" s="259"/>
      <x:c r="H217" s="259"/>
      <x:c r="I217" s="259"/>
      <x:c r="J217" s="181" t="str">
        <x:f t="shared" si="6"/>
      </x:c>
      <x:c r="K217" s="176" t="str">
        <x:f t="shared" si="7"/>
      </x:c>
      <x:c r="L217" s="181" t="str">
        <x:f>IF($C217="","",IFERROR(IF(INDEX(Catalogo!$H$5:$H$86,MATCH($C217,Catalogo!$A$5:$A$86,0))="","",INDEX(Catalogo!$H$5:$H$86,MATCH($C217,Catalogo!$A$5:$A$86,0))),""))</x:f>
      </x:c>
      <x:c r="M217" s="176" t="str">
        <x:f>IF(OR($B217="",$L217=""),"",IFERROR(IF(INDEX(Obras!$H$5:$H$19,MATCH($B217,Obras!$A$5:$A$19,0))="","",IF(INDEX(Obras!$H$5:$H$19,MATCH($B217,Obras!$A$5:$A$19,0))&gt;$L217,"VENCIDA",IF($L217-INDEX(Obras!$H$5:$H$19,MATCH($B217,Obras!$A$5:$A$19,0))&lt;=0.5,"VENCE EM ATÉ 6 MESES","VIGENTE"))),""))</x:f>
      </x:c>
      <x:c r="N217" s="268"/>
    </x:row>
    <x:row r="218" ht="30" customHeight="1">
      <x:c r="A218" s="176" t="str">
        <x:f>IF(OR($B218="",$C218=""),"","LC-"&amp;TEXT(214,"0000"))</x:f>
      </x:c>
      <x:c r="B218" s="259"/>
      <x:c r="C218" s="259"/>
      <x:c r="D218" s="271" t="str">
        <x:f>IF($B218="","",IFERROR(IF(INDEX(Obras!$G$5:$G$19,MATCH($B218,Obras!$A$5:$A$19,0))="","",INDEX(Obras!$G$5:$G$19,MATCH($B218,Obras!$A$5:$A$19,0))),""))</x:f>
      </x:c>
      <x:c r="E218" s="259"/>
      <x:c r="F218" s="268"/>
      <x:c r="G218" s="259"/>
      <x:c r="H218" s="259"/>
      <x:c r="I218" s="259"/>
      <x:c r="J218" s="181" t="str">
        <x:f t="shared" si="6"/>
      </x:c>
      <x:c r="K218" s="176" t="str">
        <x:f t="shared" si="7"/>
      </x:c>
      <x:c r="L218" s="181" t="str">
        <x:f>IF($C218="","",IFERROR(IF(INDEX(Catalogo!$H$5:$H$86,MATCH($C218,Catalogo!$A$5:$A$86,0))="","",INDEX(Catalogo!$H$5:$H$86,MATCH($C218,Catalogo!$A$5:$A$86,0))),""))</x:f>
      </x:c>
      <x:c r="M218" s="176" t="str">
        <x:f>IF(OR($B218="",$L218=""),"",IFERROR(IF(INDEX(Obras!$H$5:$H$19,MATCH($B218,Obras!$A$5:$A$19,0))="","",IF(INDEX(Obras!$H$5:$H$19,MATCH($B218,Obras!$A$5:$A$19,0))&gt;$L218,"VENCIDA",IF($L218-INDEX(Obras!$H$5:$H$19,MATCH($B218,Obras!$A$5:$A$19,0))&lt;=0.5,"VENCE EM ATÉ 6 MESES","VIGENTE"))),""))</x:f>
      </x:c>
      <x:c r="N218" s="268"/>
    </x:row>
    <x:row r="219" ht="30" customHeight="1">
      <x:c r="A219" s="176" t="str">
        <x:f>IF(OR($B219="",$C219=""),"","LC-"&amp;TEXT(215,"0000"))</x:f>
      </x:c>
      <x:c r="B219" s="259"/>
      <x:c r="C219" s="259"/>
      <x:c r="D219" s="271" t="str">
        <x:f>IF($B219="","",IFERROR(IF(INDEX(Obras!$G$5:$G$19,MATCH($B219,Obras!$A$5:$A$19,0))="","",INDEX(Obras!$G$5:$G$19,MATCH($B219,Obras!$A$5:$A$19,0))),""))</x:f>
      </x:c>
      <x:c r="E219" s="259"/>
      <x:c r="F219" s="268"/>
      <x:c r="G219" s="259"/>
      <x:c r="H219" s="259"/>
      <x:c r="I219" s="259"/>
      <x:c r="J219" s="181" t="str">
        <x:f t="shared" si="6"/>
      </x:c>
      <x:c r="K219" s="176" t="str">
        <x:f t="shared" si="7"/>
      </x:c>
      <x:c r="L219" s="181" t="str">
        <x:f>IF($C219="","",IFERROR(IF(INDEX(Catalogo!$H$5:$H$86,MATCH($C219,Catalogo!$A$5:$A$86,0))="","",INDEX(Catalogo!$H$5:$H$86,MATCH($C219,Catalogo!$A$5:$A$86,0))),""))</x:f>
      </x:c>
      <x:c r="M219" s="176" t="str">
        <x:f>IF(OR($B219="",$L219=""),"",IFERROR(IF(INDEX(Obras!$H$5:$H$19,MATCH($B219,Obras!$A$5:$A$19,0))="","",IF(INDEX(Obras!$H$5:$H$19,MATCH($B219,Obras!$A$5:$A$19,0))&gt;$L219,"VENCIDA",IF($L219-INDEX(Obras!$H$5:$H$19,MATCH($B219,Obras!$A$5:$A$19,0))&lt;=0.5,"VENCE EM ATÉ 6 MESES","VIGENTE"))),""))</x:f>
      </x:c>
      <x:c r="N219" s="268"/>
    </x:row>
    <x:row r="220" ht="30" customHeight="1">
      <x:c r="A220" s="176" t="str">
        <x:f>IF(OR($B220="",$C220=""),"","LC-"&amp;TEXT(216,"0000"))</x:f>
      </x:c>
      <x:c r="B220" s="259"/>
      <x:c r="C220" s="259"/>
      <x:c r="D220" s="271" t="str">
        <x:f>IF($B220="","",IFERROR(IF(INDEX(Obras!$G$5:$G$19,MATCH($B220,Obras!$A$5:$A$19,0))="","",INDEX(Obras!$G$5:$G$19,MATCH($B220,Obras!$A$5:$A$19,0))),""))</x:f>
      </x:c>
      <x:c r="E220" s="259"/>
      <x:c r="F220" s="268"/>
      <x:c r="G220" s="259"/>
      <x:c r="H220" s="259"/>
      <x:c r="I220" s="259"/>
      <x:c r="J220" s="181" t="str">
        <x:f t="shared" si="6"/>
      </x:c>
      <x:c r="K220" s="176" t="str">
        <x:f t="shared" si="7"/>
      </x:c>
      <x:c r="L220" s="181" t="str">
        <x:f>IF($C220="","",IFERROR(IF(INDEX(Catalogo!$H$5:$H$86,MATCH($C220,Catalogo!$A$5:$A$86,0))="","",INDEX(Catalogo!$H$5:$H$86,MATCH($C220,Catalogo!$A$5:$A$86,0))),""))</x:f>
      </x:c>
      <x:c r="M220" s="176" t="str">
        <x:f>IF(OR($B220="",$L220=""),"",IFERROR(IF(INDEX(Obras!$H$5:$H$19,MATCH($B220,Obras!$A$5:$A$19,0))="","",IF(INDEX(Obras!$H$5:$H$19,MATCH($B220,Obras!$A$5:$A$19,0))&gt;$L220,"VENCIDA",IF($L220-INDEX(Obras!$H$5:$H$19,MATCH($B220,Obras!$A$5:$A$19,0))&lt;=0.5,"VENCE EM ATÉ 6 MESES","VIGENTE"))),""))</x:f>
      </x:c>
      <x:c r="N220" s="268"/>
    </x:row>
    <x:row r="221" ht="30" customHeight="1">
      <x:c r="A221" s="176" t="str">
        <x:f>IF(OR($B221="",$C221=""),"","LC-"&amp;TEXT(217,"0000"))</x:f>
      </x:c>
      <x:c r="B221" s="259"/>
      <x:c r="C221" s="259"/>
      <x:c r="D221" s="271" t="str">
        <x:f>IF($B221="","",IFERROR(IF(INDEX(Obras!$G$5:$G$19,MATCH($B221,Obras!$A$5:$A$19,0))="","",INDEX(Obras!$G$5:$G$19,MATCH($B221,Obras!$A$5:$A$19,0))),""))</x:f>
      </x:c>
      <x:c r="E221" s="259"/>
      <x:c r="F221" s="268"/>
      <x:c r="G221" s="259"/>
      <x:c r="H221" s="259"/>
      <x:c r="I221" s="259"/>
      <x:c r="J221" s="181" t="str">
        <x:f t="shared" si="6"/>
      </x:c>
      <x:c r="K221" s="176" t="str">
        <x:f t="shared" si="7"/>
      </x:c>
      <x:c r="L221" s="181" t="str">
        <x:f>IF($C221="","",IFERROR(IF(INDEX(Catalogo!$H$5:$H$86,MATCH($C221,Catalogo!$A$5:$A$86,0))="","",INDEX(Catalogo!$H$5:$H$86,MATCH($C221,Catalogo!$A$5:$A$86,0))),""))</x:f>
      </x:c>
      <x:c r="M221" s="176" t="str">
        <x:f>IF(OR($B221="",$L221=""),"",IFERROR(IF(INDEX(Obras!$H$5:$H$19,MATCH($B221,Obras!$A$5:$A$19,0))="","",IF(INDEX(Obras!$H$5:$H$19,MATCH($B221,Obras!$A$5:$A$19,0))&gt;$L221,"VENCIDA",IF($L221-INDEX(Obras!$H$5:$H$19,MATCH($B221,Obras!$A$5:$A$19,0))&lt;=0.5,"VENCE EM ATÉ 6 MESES","VIGENTE"))),""))</x:f>
      </x:c>
      <x:c r="N221" s="268"/>
    </x:row>
    <x:row r="222" ht="30" customHeight="1">
      <x:c r="A222" s="176" t="str">
        <x:f>IF(OR($B222="",$C222=""),"","LC-"&amp;TEXT(218,"0000"))</x:f>
      </x:c>
      <x:c r="B222" s="259"/>
      <x:c r="C222" s="259"/>
      <x:c r="D222" s="271" t="str">
        <x:f>IF($B222="","",IFERROR(IF(INDEX(Obras!$G$5:$G$19,MATCH($B222,Obras!$A$5:$A$19,0))="","",INDEX(Obras!$G$5:$G$19,MATCH($B222,Obras!$A$5:$A$19,0))),""))</x:f>
      </x:c>
      <x:c r="E222" s="259"/>
      <x:c r="F222" s="268"/>
      <x:c r="G222" s="259"/>
      <x:c r="H222" s="259"/>
      <x:c r="I222" s="259"/>
      <x:c r="J222" s="181" t="str">
        <x:f t="shared" si="6"/>
      </x:c>
      <x:c r="K222" s="176" t="str">
        <x:f t="shared" si="7"/>
      </x:c>
      <x:c r="L222" s="181" t="str">
        <x:f>IF($C222="","",IFERROR(IF(INDEX(Catalogo!$H$5:$H$86,MATCH($C222,Catalogo!$A$5:$A$86,0))="","",INDEX(Catalogo!$H$5:$H$86,MATCH($C222,Catalogo!$A$5:$A$86,0))),""))</x:f>
      </x:c>
      <x:c r="M222" s="176" t="str">
        <x:f>IF(OR($B222="",$L222=""),"",IFERROR(IF(INDEX(Obras!$H$5:$H$19,MATCH($B222,Obras!$A$5:$A$19,0))="","",IF(INDEX(Obras!$H$5:$H$19,MATCH($B222,Obras!$A$5:$A$19,0))&gt;$L222,"VENCIDA",IF($L222-INDEX(Obras!$H$5:$H$19,MATCH($B222,Obras!$A$5:$A$19,0))&lt;=0.5,"VENCE EM ATÉ 6 MESES","VIGENTE"))),""))</x:f>
      </x:c>
      <x:c r="N222" s="268"/>
    </x:row>
    <x:row r="223" ht="30" customHeight="1">
      <x:c r="A223" s="176" t="str">
        <x:f>IF(OR($B223="",$C223=""),"","LC-"&amp;TEXT(219,"0000"))</x:f>
      </x:c>
      <x:c r="B223" s="259"/>
      <x:c r="C223" s="259"/>
      <x:c r="D223" s="271" t="str">
        <x:f>IF($B223="","",IFERROR(IF(INDEX(Obras!$G$5:$G$19,MATCH($B223,Obras!$A$5:$A$19,0))="","",INDEX(Obras!$G$5:$G$19,MATCH($B223,Obras!$A$5:$A$19,0))),""))</x:f>
      </x:c>
      <x:c r="E223" s="259"/>
      <x:c r="F223" s="268"/>
      <x:c r="G223" s="259"/>
      <x:c r="H223" s="259"/>
      <x:c r="I223" s="259"/>
      <x:c r="J223" s="181" t="str">
        <x:f t="shared" si="6"/>
      </x:c>
      <x:c r="K223" s="176" t="str">
        <x:f t="shared" si="7"/>
      </x:c>
      <x:c r="L223" s="181" t="str">
        <x:f>IF($C223="","",IFERROR(IF(INDEX(Catalogo!$H$5:$H$86,MATCH($C223,Catalogo!$A$5:$A$86,0))="","",INDEX(Catalogo!$H$5:$H$86,MATCH($C223,Catalogo!$A$5:$A$86,0))),""))</x:f>
      </x:c>
      <x:c r="M223" s="176" t="str">
        <x:f>IF(OR($B223="",$L223=""),"",IFERROR(IF(INDEX(Obras!$H$5:$H$19,MATCH($B223,Obras!$A$5:$A$19,0))="","",IF(INDEX(Obras!$H$5:$H$19,MATCH($B223,Obras!$A$5:$A$19,0))&gt;$L223,"VENCIDA",IF($L223-INDEX(Obras!$H$5:$H$19,MATCH($B223,Obras!$A$5:$A$19,0))&lt;=0.5,"VENCE EM ATÉ 6 MESES","VIGENTE"))),""))</x:f>
      </x:c>
      <x:c r="N223" s="268"/>
    </x:row>
    <x:row r="224" ht="30" customHeight="1">
      <x:c r="A224" s="176" t="str">
        <x:f>IF(OR($B224="",$C224=""),"","LC-"&amp;TEXT(220,"0000"))</x:f>
      </x:c>
      <x:c r="B224" s="259"/>
      <x:c r="C224" s="259"/>
      <x:c r="D224" s="271" t="str">
        <x:f>IF($B224="","",IFERROR(IF(INDEX(Obras!$G$5:$G$19,MATCH($B224,Obras!$A$5:$A$19,0))="","",INDEX(Obras!$G$5:$G$19,MATCH($B224,Obras!$A$5:$A$19,0))),""))</x:f>
      </x:c>
      <x:c r="E224" s="259"/>
      <x:c r="F224" s="268"/>
      <x:c r="G224" s="259"/>
      <x:c r="H224" s="259"/>
      <x:c r="I224" s="259"/>
      <x:c r="J224" s="181" t="str">
        <x:f t="shared" si="6"/>
      </x:c>
      <x:c r="K224" s="176" t="str">
        <x:f t="shared" si="7"/>
      </x:c>
      <x:c r="L224" s="181" t="str">
        <x:f>IF($C224="","",IFERROR(IF(INDEX(Catalogo!$H$5:$H$86,MATCH($C224,Catalogo!$A$5:$A$86,0))="","",INDEX(Catalogo!$H$5:$H$86,MATCH($C224,Catalogo!$A$5:$A$86,0))),""))</x:f>
      </x:c>
      <x:c r="M224" s="176" t="str">
        <x:f>IF(OR($B224="",$L224=""),"",IFERROR(IF(INDEX(Obras!$H$5:$H$19,MATCH($B224,Obras!$A$5:$A$19,0))="","",IF(INDEX(Obras!$H$5:$H$19,MATCH($B224,Obras!$A$5:$A$19,0))&gt;$L224,"VENCIDA",IF($L224-INDEX(Obras!$H$5:$H$19,MATCH($B224,Obras!$A$5:$A$19,0))&lt;=0.5,"VENCE EM ATÉ 6 MESES","VIGENTE"))),""))</x:f>
      </x:c>
      <x:c r="N224" s="268"/>
    </x:row>
    <x:row r="225" ht="30" customHeight="1">
      <x:c r="A225" s="176" t="str">
        <x:f>IF(OR($B225="",$C225=""),"","LC-"&amp;TEXT(221,"0000"))</x:f>
      </x:c>
      <x:c r="B225" s="259"/>
      <x:c r="C225" s="259"/>
      <x:c r="D225" s="271" t="str">
        <x:f>IF($B225="","",IFERROR(IF(INDEX(Obras!$G$5:$G$19,MATCH($B225,Obras!$A$5:$A$19,0))="","",INDEX(Obras!$G$5:$G$19,MATCH($B225,Obras!$A$5:$A$19,0))),""))</x:f>
      </x:c>
      <x:c r="E225" s="259"/>
      <x:c r="F225" s="268"/>
      <x:c r="G225" s="259"/>
      <x:c r="H225" s="259"/>
      <x:c r="I225" s="259"/>
      <x:c r="J225" s="181" t="str">
        <x:f t="shared" si="6"/>
      </x:c>
      <x:c r="K225" s="176" t="str">
        <x:f t="shared" si="7"/>
      </x:c>
      <x:c r="L225" s="181" t="str">
        <x:f>IF($C225="","",IFERROR(IF(INDEX(Catalogo!$H$5:$H$86,MATCH($C225,Catalogo!$A$5:$A$86,0))="","",INDEX(Catalogo!$H$5:$H$86,MATCH($C225,Catalogo!$A$5:$A$86,0))),""))</x:f>
      </x:c>
      <x:c r="M225" s="176" t="str">
        <x:f>IF(OR($B225="",$L225=""),"",IFERROR(IF(INDEX(Obras!$H$5:$H$19,MATCH($B225,Obras!$A$5:$A$19,0))="","",IF(INDEX(Obras!$H$5:$H$19,MATCH($B225,Obras!$A$5:$A$19,0))&gt;$L225,"VENCIDA",IF($L225-INDEX(Obras!$H$5:$H$19,MATCH($B225,Obras!$A$5:$A$19,0))&lt;=0.5,"VENCE EM ATÉ 6 MESES","VIGENTE"))),""))</x:f>
      </x:c>
      <x:c r="N225" s="268"/>
    </x:row>
    <x:row r="226" ht="30" customHeight="1">
      <x:c r="A226" s="176" t="str">
        <x:f>IF(OR($B226="",$C226=""),"","LC-"&amp;TEXT(222,"0000"))</x:f>
      </x:c>
      <x:c r="B226" s="259"/>
      <x:c r="C226" s="259"/>
      <x:c r="D226" s="271" t="str">
        <x:f>IF($B226="","",IFERROR(IF(INDEX(Obras!$G$5:$G$19,MATCH($B226,Obras!$A$5:$A$19,0))="","",INDEX(Obras!$G$5:$G$19,MATCH($B226,Obras!$A$5:$A$19,0))),""))</x:f>
      </x:c>
      <x:c r="E226" s="259"/>
      <x:c r="F226" s="268"/>
      <x:c r="G226" s="259"/>
      <x:c r="H226" s="259"/>
      <x:c r="I226" s="259"/>
      <x:c r="J226" s="181" t="str">
        <x:f t="shared" si="6"/>
      </x:c>
      <x:c r="K226" s="176" t="str">
        <x:f t="shared" si="7"/>
      </x:c>
      <x:c r="L226" s="181" t="str">
        <x:f>IF($C226="","",IFERROR(IF(INDEX(Catalogo!$H$5:$H$86,MATCH($C226,Catalogo!$A$5:$A$86,0))="","",INDEX(Catalogo!$H$5:$H$86,MATCH($C226,Catalogo!$A$5:$A$86,0))),""))</x:f>
      </x:c>
      <x:c r="M226" s="176" t="str">
        <x:f>IF(OR($B226="",$L226=""),"",IFERROR(IF(INDEX(Obras!$H$5:$H$19,MATCH($B226,Obras!$A$5:$A$19,0))="","",IF(INDEX(Obras!$H$5:$H$19,MATCH($B226,Obras!$A$5:$A$19,0))&gt;$L226,"VENCIDA",IF($L226-INDEX(Obras!$H$5:$H$19,MATCH($B226,Obras!$A$5:$A$19,0))&lt;=0.5,"VENCE EM ATÉ 6 MESES","VIGENTE"))),""))</x:f>
      </x:c>
      <x:c r="N226" s="268"/>
    </x:row>
    <x:row r="227" ht="30" customHeight="1">
      <x:c r="A227" s="176" t="str">
        <x:f>IF(OR($B227="",$C227=""),"","LC-"&amp;TEXT(223,"0000"))</x:f>
      </x:c>
      <x:c r="B227" s="259"/>
      <x:c r="C227" s="259"/>
      <x:c r="D227" s="271" t="str">
        <x:f>IF($B227="","",IFERROR(IF(INDEX(Obras!$G$5:$G$19,MATCH($B227,Obras!$A$5:$A$19,0))="","",INDEX(Obras!$G$5:$G$19,MATCH($B227,Obras!$A$5:$A$19,0))),""))</x:f>
      </x:c>
      <x:c r="E227" s="259"/>
      <x:c r="F227" s="268"/>
      <x:c r="G227" s="259"/>
      <x:c r="H227" s="259"/>
      <x:c r="I227" s="259"/>
      <x:c r="J227" s="181" t="str">
        <x:f t="shared" si="6"/>
      </x:c>
      <x:c r="K227" s="176" t="str">
        <x:f t="shared" si="7"/>
      </x:c>
      <x:c r="L227" s="181" t="str">
        <x:f>IF($C227="","",IFERROR(IF(INDEX(Catalogo!$H$5:$H$86,MATCH($C227,Catalogo!$A$5:$A$86,0))="","",INDEX(Catalogo!$H$5:$H$86,MATCH($C227,Catalogo!$A$5:$A$86,0))),""))</x:f>
      </x:c>
      <x:c r="M227" s="176" t="str">
        <x:f>IF(OR($B227="",$L227=""),"",IFERROR(IF(INDEX(Obras!$H$5:$H$19,MATCH($B227,Obras!$A$5:$A$19,0))="","",IF(INDEX(Obras!$H$5:$H$19,MATCH($B227,Obras!$A$5:$A$19,0))&gt;$L227,"VENCIDA",IF($L227-INDEX(Obras!$H$5:$H$19,MATCH($B227,Obras!$A$5:$A$19,0))&lt;=0.5,"VENCE EM ATÉ 6 MESES","VIGENTE"))),""))</x:f>
      </x:c>
      <x:c r="N227" s="268"/>
    </x:row>
    <x:row r="228" ht="30" customHeight="1">
      <x:c r="A228" s="176" t="str">
        <x:f>IF(OR($B228="",$C228=""),"","LC-"&amp;TEXT(224,"0000"))</x:f>
      </x:c>
      <x:c r="B228" s="259"/>
      <x:c r="C228" s="259"/>
      <x:c r="D228" s="271" t="str">
        <x:f>IF($B228="","",IFERROR(IF(INDEX(Obras!$G$5:$G$19,MATCH($B228,Obras!$A$5:$A$19,0))="","",INDEX(Obras!$G$5:$G$19,MATCH($B228,Obras!$A$5:$A$19,0))),""))</x:f>
      </x:c>
      <x:c r="E228" s="259"/>
      <x:c r="F228" s="268"/>
      <x:c r="G228" s="259"/>
      <x:c r="H228" s="259"/>
      <x:c r="I228" s="259"/>
      <x:c r="J228" s="181" t="str">
        <x:f t="shared" si="6"/>
      </x:c>
      <x:c r="K228" s="176" t="str">
        <x:f t="shared" si="7"/>
      </x:c>
      <x:c r="L228" s="181" t="str">
        <x:f>IF($C228="","",IFERROR(IF(INDEX(Catalogo!$H$5:$H$86,MATCH($C228,Catalogo!$A$5:$A$86,0))="","",INDEX(Catalogo!$H$5:$H$86,MATCH($C228,Catalogo!$A$5:$A$86,0))),""))</x:f>
      </x:c>
      <x:c r="M228" s="176" t="str">
        <x:f>IF(OR($B228="",$L228=""),"",IFERROR(IF(INDEX(Obras!$H$5:$H$19,MATCH($B228,Obras!$A$5:$A$19,0))="","",IF(INDEX(Obras!$H$5:$H$19,MATCH($B228,Obras!$A$5:$A$19,0))&gt;$L228,"VENCIDA",IF($L228-INDEX(Obras!$H$5:$H$19,MATCH($B228,Obras!$A$5:$A$19,0))&lt;=0.5,"VENCE EM ATÉ 6 MESES","VIGENTE"))),""))</x:f>
      </x:c>
      <x:c r="N228" s="268"/>
    </x:row>
    <x:row r="229" ht="30" customHeight="1">
      <x:c r="A229" s="176" t="str">
        <x:f>IF(OR($B229="",$C229=""),"","LC-"&amp;TEXT(225,"0000"))</x:f>
      </x:c>
      <x:c r="B229" s="259"/>
      <x:c r="C229" s="259"/>
      <x:c r="D229" s="271" t="str">
        <x:f>IF($B229="","",IFERROR(IF(INDEX(Obras!$G$5:$G$19,MATCH($B229,Obras!$A$5:$A$19,0))="","",INDEX(Obras!$G$5:$G$19,MATCH($B229,Obras!$A$5:$A$19,0))),""))</x:f>
      </x:c>
      <x:c r="E229" s="259"/>
      <x:c r="F229" s="268"/>
      <x:c r="G229" s="259"/>
      <x:c r="H229" s="259"/>
      <x:c r="I229" s="259"/>
      <x:c r="J229" s="181" t="str">
        <x:f t="shared" si="6"/>
      </x:c>
      <x:c r="K229" s="176" t="str">
        <x:f t="shared" si="7"/>
      </x:c>
      <x:c r="L229" s="181" t="str">
        <x:f>IF($C229="","",IFERROR(IF(INDEX(Catalogo!$H$5:$H$86,MATCH($C229,Catalogo!$A$5:$A$86,0))="","",INDEX(Catalogo!$H$5:$H$86,MATCH($C229,Catalogo!$A$5:$A$86,0))),""))</x:f>
      </x:c>
      <x:c r="M229" s="176" t="str">
        <x:f>IF(OR($B229="",$L229=""),"",IFERROR(IF(INDEX(Obras!$H$5:$H$19,MATCH($B229,Obras!$A$5:$A$19,0))="","",IF(INDEX(Obras!$H$5:$H$19,MATCH($B229,Obras!$A$5:$A$19,0))&gt;$L229,"VENCIDA",IF($L229-INDEX(Obras!$H$5:$H$19,MATCH($B229,Obras!$A$5:$A$19,0))&lt;=0.5,"VENCE EM ATÉ 6 MESES","VIGENTE"))),""))</x:f>
      </x:c>
      <x:c r="N229" s="268"/>
    </x:row>
    <x:row r="230" ht="30" customHeight="1">
      <x:c r="A230" s="176" t="str">
        <x:f>IF(OR($B230="",$C230=""),"","LC-"&amp;TEXT(226,"0000"))</x:f>
      </x:c>
      <x:c r="B230" s="259"/>
      <x:c r="C230" s="259"/>
      <x:c r="D230" s="271" t="str">
        <x:f>IF($B230="","",IFERROR(IF(INDEX(Obras!$G$5:$G$19,MATCH($B230,Obras!$A$5:$A$19,0))="","",INDEX(Obras!$G$5:$G$19,MATCH($B230,Obras!$A$5:$A$19,0))),""))</x:f>
      </x:c>
      <x:c r="E230" s="259"/>
      <x:c r="F230" s="268"/>
      <x:c r="G230" s="259"/>
      <x:c r="H230" s="259"/>
      <x:c r="I230" s="259"/>
      <x:c r="J230" s="181" t="str">
        <x:f t="shared" si="6"/>
      </x:c>
      <x:c r="K230" s="176" t="str">
        <x:f t="shared" si="7"/>
      </x:c>
      <x:c r="L230" s="181" t="str">
        <x:f>IF($C230="","",IFERROR(IF(INDEX(Catalogo!$H$5:$H$86,MATCH($C230,Catalogo!$A$5:$A$86,0))="","",INDEX(Catalogo!$H$5:$H$86,MATCH($C230,Catalogo!$A$5:$A$86,0))),""))</x:f>
      </x:c>
      <x:c r="M230" s="176" t="str">
        <x:f>IF(OR($B230="",$L230=""),"",IFERROR(IF(INDEX(Obras!$H$5:$H$19,MATCH($B230,Obras!$A$5:$A$19,0))="","",IF(INDEX(Obras!$H$5:$H$19,MATCH($B230,Obras!$A$5:$A$19,0))&gt;$L230,"VENCIDA",IF($L230-INDEX(Obras!$H$5:$H$19,MATCH($B230,Obras!$A$5:$A$19,0))&lt;=0.5,"VENCE EM ATÉ 6 MESES","VIGENTE"))),""))</x:f>
      </x:c>
      <x:c r="N230" s="268"/>
    </x:row>
    <x:row r="231" ht="30" customHeight="1">
      <x:c r="A231" s="176" t="str">
        <x:f>IF(OR($B231="",$C231=""),"","LC-"&amp;TEXT(227,"0000"))</x:f>
      </x:c>
      <x:c r="B231" s="259"/>
      <x:c r="C231" s="259"/>
      <x:c r="D231" s="271" t="str">
        <x:f>IF($B231="","",IFERROR(IF(INDEX(Obras!$G$5:$G$19,MATCH($B231,Obras!$A$5:$A$19,0))="","",INDEX(Obras!$G$5:$G$19,MATCH($B231,Obras!$A$5:$A$19,0))),""))</x:f>
      </x:c>
      <x:c r="E231" s="259"/>
      <x:c r="F231" s="268"/>
      <x:c r="G231" s="259"/>
      <x:c r="H231" s="259"/>
      <x:c r="I231" s="259"/>
      <x:c r="J231" s="181" t="str">
        <x:f t="shared" si="6"/>
      </x:c>
      <x:c r="K231" s="176" t="str">
        <x:f t="shared" si="7"/>
      </x:c>
      <x:c r="L231" s="181" t="str">
        <x:f>IF($C231="","",IFERROR(IF(INDEX(Catalogo!$H$5:$H$86,MATCH($C231,Catalogo!$A$5:$A$86,0))="","",INDEX(Catalogo!$H$5:$H$86,MATCH($C231,Catalogo!$A$5:$A$86,0))),""))</x:f>
      </x:c>
      <x:c r="M231" s="176" t="str">
        <x:f>IF(OR($B231="",$L231=""),"",IFERROR(IF(INDEX(Obras!$H$5:$H$19,MATCH($B231,Obras!$A$5:$A$19,0))="","",IF(INDEX(Obras!$H$5:$H$19,MATCH($B231,Obras!$A$5:$A$19,0))&gt;$L231,"VENCIDA",IF($L231-INDEX(Obras!$H$5:$H$19,MATCH($B231,Obras!$A$5:$A$19,0))&lt;=0.5,"VENCE EM ATÉ 6 MESES","VIGENTE"))),""))</x:f>
      </x:c>
      <x:c r="N231" s="268"/>
    </x:row>
    <x:row r="232" ht="30" customHeight="1">
      <x:c r="A232" s="176" t="str">
        <x:f>IF(OR($B232="",$C232=""),"","LC-"&amp;TEXT(228,"0000"))</x:f>
      </x:c>
      <x:c r="B232" s="259"/>
      <x:c r="C232" s="259"/>
      <x:c r="D232" s="271" t="str">
        <x:f>IF($B232="","",IFERROR(IF(INDEX(Obras!$G$5:$G$19,MATCH($B232,Obras!$A$5:$A$19,0))="","",INDEX(Obras!$G$5:$G$19,MATCH($B232,Obras!$A$5:$A$19,0))),""))</x:f>
      </x:c>
      <x:c r="E232" s="259"/>
      <x:c r="F232" s="268"/>
      <x:c r="G232" s="259"/>
      <x:c r="H232" s="259"/>
      <x:c r="I232" s="259"/>
      <x:c r="J232" s="181" t="str">
        <x:f t="shared" si="6"/>
      </x:c>
      <x:c r="K232" s="176" t="str">
        <x:f t="shared" si="7"/>
      </x:c>
      <x:c r="L232" s="181" t="str">
        <x:f>IF($C232="","",IFERROR(IF(INDEX(Catalogo!$H$5:$H$86,MATCH($C232,Catalogo!$A$5:$A$86,0))="","",INDEX(Catalogo!$H$5:$H$86,MATCH($C232,Catalogo!$A$5:$A$86,0))),""))</x:f>
      </x:c>
      <x:c r="M232" s="176" t="str">
        <x:f>IF(OR($B232="",$L232=""),"",IFERROR(IF(INDEX(Obras!$H$5:$H$19,MATCH($B232,Obras!$A$5:$A$19,0))="","",IF(INDEX(Obras!$H$5:$H$19,MATCH($B232,Obras!$A$5:$A$19,0))&gt;$L232,"VENCIDA",IF($L232-INDEX(Obras!$H$5:$H$19,MATCH($B232,Obras!$A$5:$A$19,0))&lt;=0.5,"VENCE EM ATÉ 6 MESES","VIGENTE"))),""))</x:f>
      </x:c>
      <x:c r="N232" s="268"/>
    </x:row>
    <x:row r="233" ht="30" customHeight="1">
      <x:c r="A233" s="176" t="str">
        <x:f>IF(OR($B233="",$C233=""),"","LC-"&amp;TEXT(229,"0000"))</x:f>
      </x:c>
      <x:c r="B233" s="259"/>
      <x:c r="C233" s="259"/>
      <x:c r="D233" s="271" t="str">
        <x:f>IF($B233="","",IFERROR(IF(INDEX(Obras!$G$5:$G$19,MATCH($B233,Obras!$A$5:$A$19,0))="","",INDEX(Obras!$G$5:$G$19,MATCH($B233,Obras!$A$5:$A$19,0))),""))</x:f>
      </x:c>
      <x:c r="E233" s="259"/>
      <x:c r="F233" s="268"/>
      <x:c r="G233" s="259"/>
      <x:c r="H233" s="259"/>
      <x:c r="I233" s="259"/>
      <x:c r="J233" s="181" t="str">
        <x:f t="shared" si="6"/>
      </x:c>
      <x:c r="K233" s="176" t="str">
        <x:f t="shared" si="7"/>
      </x:c>
      <x:c r="L233" s="181" t="str">
        <x:f>IF($C233="","",IFERROR(IF(INDEX(Catalogo!$H$5:$H$86,MATCH($C233,Catalogo!$A$5:$A$86,0))="","",INDEX(Catalogo!$H$5:$H$86,MATCH($C233,Catalogo!$A$5:$A$86,0))),""))</x:f>
      </x:c>
      <x:c r="M233" s="176" t="str">
        <x:f>IF(OR($B233="",$L233=""),"",IFERROR(IF(INDEX(Obras!$H$5:$H$19,MATCH($B233,Obras!$A$5:$A$19,0))="","",IF(INDEX(Obras!$H$5:$H$19,MATCH($B233,Obras!$A$5:$A$19,0))&gt;$L233,"VENCIDA",IF($L233-INDEX(Obras!$H$5:$H$19,MATCH($B233,Obras!$A$5:$A$19,0))&lt;=0.5,"VENCE EM ATÉ 6 MESES","VIGENTE"))),""))</x:f>
      </x:c>
      <x:c r="N233" s="268"/>
    </x:row>
    <x:row r="234" ht="30" customHeight="1">
      <x:c r="A234" s="176" t="str">
        <x:f>IF(OR($B234="",$C234=""),"","LC-"&amp;TEXT(230,"0000"))</x:f>
      </x:c>
      <x:c r="B234" s="259"/>
      <x:c r="C234" s="259"/>
      <x:c r="D234" s="271" t="str">
        <x:f>IF($B234="","",IFERROR(IF(INDEX(Obras!$G$5:$G$19,MATCH($B234,Obras!$A$5:$A$19,0))="","",INDEX(Obras!$G$5:$G$19,MATCH($B234,Obras!$A$5:$A$19,0))),""))</x:f>
      </x:c>
      <x:c r="E234" s="259"/>
      <x:c r="F234" s="268"/>
      <x:c r="G234" s="259"/>
      <x:c r="H234" s="259"/>
      <x:c r="I234" s="259"/>
      <x:c r="J234" s="181" t="str">
        <x:f t="shared" si="6"/>
      </x:c>
      <x:c r="K234" s="176" t="str">
        <x:f t="shared" si="7"/>
      </x:c>
      <x:c r="L234" s="181" t="str">
        <x:f>IF($C234="","",IFERROR(IF(INDEX(Catalogo!$H$5:$H$86,MATCH($C234,Catalogo!$A$5:$A$86,0))="","",INDEX(Catalogo!$H$5:$H$86,MATCH($C234,Catalogo!$A$5:$A$86,0))),""))</x:f>
      </x:c>
      <x:c r="M234" s="176" t="str">
        <x:f>IF(OR($B234="",$L234=""),"",IFERROR(IF(INDEX(Obras!$H$5:$H$19,MATCH($B234,Obras!$A$5:$A$19,0))="","",IF(INDEX(Obras!$H$5:$H$19,MATCH($B234,Obras!$A$5:$A$19,0))&gt;$L234,"VENCIDA",IF($L234-INDEX(Obras!$H$5:$H$19,MATCH($B234,Obras!$A$5:$A$19,0))&lt;=0.5,"VENCE EM ATÉ 6 MESES","VIGENTE"))),""))</x:f>
      </x:c>
      <x:c r="N234" s="268"/>
    </x:row>
    <x:row r="235" ht="30" customHeight="1">
      <x:c r="A235" s="176" t="str">
        <x:f>IF(OR($B235="",$C235=""),"","LC-"&amp;TEXT(231,"0000"))</x:f>
      </x:c>
      <x:c r="B235" s="259"/>
      <x:c r="C235" s="259"/>
      <x:c r="D235" s="271" t="str">
        <x:f>IF($B235="","",IFERROR(IF(INDEX(Obras!$G$5:$G$19,MATCH($B235,Obras!$A$5:$A$19,0))="","",INDEX(Obras!$G$5:$G$19,MATCH($B235,Obras!$A$5:$A$19,0))),""))</x:f>
      </x:c>
      <x:c r="E235" s="259"/>
      <x:c r="F235" s="268"/>
      <x:c r="G235" s="259"/>
      <x:c r="H235" s="259"/>
      <x:c r="I235" s="259"/>
      <x:c r="J235" s="181" t="str">
        <x:f t="shared" si="6"/>
      </x:c>
      <x:c r="K235" s="176" t="str">
        <x:f t="shared" si="7"/>
      </x:c>
      <x:c r="L235" s="181" t="str">
        <x:f>IF($C235="","",IFERROR(IF(INDEX(Catalogo!$H$5:$H$86,MATCH($C235,Catalogo!$A$5:$A$86,0))="","",INDEX(Catalogo!$H$5:$H$86,MATCH($C235,Catalogo!$A$5:$A$86,0))),""))</x:f>
      </x:c>
      <x:c r="M235" s="176" t="str">
        <x:f>IF(OR($B235="",$L235=""),"",IFERROR(IF(INDEX(Obras!$H$5:$H$19,MATCH($B235,Obras!$A$5:$A$19,0))="","",IF(INDEX(Obras!$H$5:$H$19,MATCH($B235,Obras!$A$5:$A$19,0))&gt;$L235,"VENCIDA",IF($L235-INDEX(Obras!$H$5:$H$19,MATCH($B235,Obras!$A$5:$A$19,0))&lt;=0.5,"VENCE EM ATÉ 6 MESES","VIGENTE"))),""))</x:f>
      </x:c>
      <x:c r="N235" s="268"/>
    </x:row>
    <x:row r="236" ht="30" customHeight="1">
      <x:c r="A236" s="176" t="str">
        <x:f>IF(OR($B236="",$C236=""),"","LC-"&amp;TEXT(232,"0000"))</x:f>
      </x:c>
      <x:c r="B236" s="259"/>
      <x:c r="C236" s="259"/>
      <x:c r="D236" s="271" t="str">
        <x:f>IF($B236="","",IFERROR(IF(INDEX(Obras!$G$5:$G$19,MATCH($B236,Obras!$A$5:$A$19,0))="","",INDEX(Obras!$G$5:$G$19,MATCH($B236,Obras!$A$5:$A$19,0))),""))</x:f>
      </x:c>
      <x:c r="E236" s="259"/>
      <x:c r="F236" s="268"/>
      <x:c r="G236" s="259"/>
      <x:c r="H236" s="259"/>
      <x:c r="I236" s="259"/>
      <x:c r="J236" s="181" t="str">
        <x:f t="shared" si="6"/>
      </x:c>
      <x:c r="K236" s="176" t="str">
        <x:f t="shared" si="7"/>
      </x:c>
      <x:c r="L236" s="181" t="str">
        <x:f>IF($C236="","",IFERROR(IF(INDEX(Catalogo!$H$5:$H$86,MATCH($C236,Catalogo!$A$5:$A$86,0))="","",INDEX(Catalogo!$H$5:$H$86,MATCH($C236,Catalogo!$A$5:$A$86,0))),""))</x:f>
      </x:c>
      <x:c r="M236" s="176" t="str">
        <x:f>IF(OR($B236="",$L236=""),"",IFERROR(IF(INDEX(Obras!$H$5:$H$19,MATCH($B236,Obras!$A$5:$A$19,0))="","",IF(INDEX(Obras!$H$5:$H$19,MATCH($B236,Obras!$A$5:$A$19,0))&gt;$L236,"VENCIDA",IF($L236-INDEX(Obras!$H$5:$H$19,MATCH($B236,Obras!$A$5:$A$19,0))&lt;=0.5,"VENCE EM ATÉ 6 MESES","VIGENTE"))),""))</x:f>
      </x:c>
      <x:c r="N236" s="268"/>
    </x:row>
    <x:row r="237" ht="30" customHeight="1">
      <x:c r="A237" s="176" t="str">
        <x:f>IF(OR($B237="",$C237=""),"","LC-"&amp;TEXT(233,"0000"))</x:f>
      </x:c>
      <x:c r="B237" s="259"/>
      <x:c r="C237" s="259"/>
      <x:c r="D237" s="271" t="str">
        <x:f>IF($B237="","",IFERROR(IF(INDEX(Obras!$G$5:$G$19,MATCH($B237,Obras!$A$5:$A$19,0))="","",INDEX(Obras!$G$5:$G$19,MATCH($B237,Obras!$A$5:$A$19,0))),""))</x:f>
      </x:c>
      <x:c r="E237" s="259"/>
      <x:c r="F237" s="268"/>
      <x:c r="G237" s="259"/>
      <x:c r="H237" s="259"/>
      <x:c r="I237" s="259"/>
      <x:c r="J237" s="181" t="str">
        <x:f t="shared" si="6"/>
      </x:c>
      <x:c r="K237" s="176" t="str">
        <x:f t="shared" si="7"/>
      </x:c>
      <x:c r="L237" s="181" t="str">
        <x:f>IF($C237="","",IFERROR(IF(INDEX(Catalogo!$H$5:$H$86,MATCH($C237,Catalogo!$A$5:$A$86,0))="","",INDEX(Catalogo!$H$5:$H$86,MATCH($C237,Catalogo!$A$5:$A$86,0))),""))</x:f>
      </x:c>
      <x:c r="M237" s="176" t="str">
        <x:f>IF(OR($B237="",$L237=""),"",IFERROR(IF(INDEX(Obras!$H$5:$H$19,MATCH($B237,Obras!$A$5:$A$19,0))="","",IF(INDEX(Obras!$H$5:$H$19,MATCH($B237,Obras!$A$5:$A$19,0))&gt;$L237,"VENCIDA",IF($L237-INDEX(Obras!$H$5:$H$19,MATCH($B237,Obras!$A$5:$A$19,0))&lt;=0.5,"VENCE EM ATÉ 6 MESES","VIGENTE"))),""))</x:f>
      </x:c>
      <x:c r="N237" s="268"/>
    </x:row>
    <x:row r="238" ht="30" customHeight="1">
      <x:c r="A238" s="176" t="str">
        <x:f>IF(OR($B238="",$C238=""),"","LC-"&amp;TEXT(234,"0000"))</x:f>
      </x:c>
      <x:c r="B238" s="259"/>
      <x:c r="C238" s="259"/>
      <x:c r="D238" s="271" t="str">
        <x:f>IF($B238="","",IFERROR(IF(INDEX(Obras!$G$5:$G$19,MATCH($B238,Obras!$A$5:$A$19,0))="","",INDEX(Obras!$G$5:$G$19,MATCH($B238,Obras!$A$5:$A$19,0))),""))</x:f>
      </x:c>
      <x:c r="E238" s="259"/>
      <x:c r="F238" s="268"/>
      <x:c r="G238" s="259"/>
      <x:c r="H238" s="259"/>
      <x:c r="I238" s="259"/>
      <x:c r="J238" s="181" t="str">
        <x:f t="shared" si="6"/>
      </x:c>
      <x:c r="K238" s="176" t="str">
        <x:f t="shared" si="7"/>
      </x:c>
      <x:c r="L238" s="181" t="str">
        <x:f>IF($C238="","",IFERROR(IF(INDEX(Catalogo!$H$5:$H$86,MATCH($C238,Catalogo!$A$5:$A$86,0))="","",INDEX(Catalogo!$H$5:$H$86,MATCH($C238,Catalogo!$A$5:$A$86,0))),""))</x:f>
      </x:c>
      <x:c r="M238" s="176" t="str">
        <x:f>IF(OR($B238="",$L238=""),"",IFERROR(IF(INDEX(Obras!$H$5:$H$19,MATCH($B238,Obras!$A$5:$A$19,0))="","",IF(INDEX(Obras!$H$5:$H$19,MATCH($B238,Obras!$A$5:$A$19,0))&gt;$L238,"VENCIDA",IF($L238-INDEX(Obras!$H$5:$H$19,MATCH($B238,Obras!$A$5:$A$19,0))&lt;=0.5,"VENCE EM ATÉ 6 MESES","VIGENTE"))),""))</x:f>
      </x:c>
      <x:c r="N238" s="268"/>
    </x:row>
    <x:row r="239" ht="30" customHeight="1">
      <x:c r="A239" s="176" t="str">
        <x:f>IF(OR($B239="",$C239=""),"","LC-"&amp;TEXT(235,"0000"))</x:f>
      </x:c>
      <x:c r="B239" s="259"/>
      <x:c r="C239" s="259"/>
      <x:c r="D239" s="271" t="str">
        <x:f>IF($B239="","",IFERROR(IF(INDEX(Obras!$G$5:$G$19,MATCH($B239,Obras!$A$5:$A$19,0))="","",INDEX(Obras!$G$5:$G$19,MATCH($B239,Obras!$A$5:$A$19,0))),""))</x:f>
      </x:c>
      <x:c r="E239" s="259"/>
      <x:c r="F239" s="268"/>
      <x:c r="G239" s="259"/>
      <x:c r="H239" s="259"/>
      <x:c r="I239" s="259"/>
      <x:c r="J239" s="181" t="str">
        <x:f t="shared" si="6"/>
      </x:c>
      <x:c r="K239" s="176" t="str">
        <x:f t="shared" si="7"/>
      </x:c>
      <x:c r="L239" s="181" t="str">
        <x:f>IF($C239="","",IFERROR(IF(INDEX(Catalogo!$H$5:$H$86,MATCH($C239,Catalogo!$A$5:$A$86,0))="","",INDEX(Catalogo!$H$5:$H$86,MATCH($C239,Catalogo!$A$5:$A$86,0))),""))</x:f>
      </x:c>
      <x:c r="M239" s="176" t="str">
        <x:f>IF(OR($B239="",$L239=""),"",IFERROR(IF(INDEX(Obras!$H$5:$H$19,MATCH($B239,Obras!$A$5:$A$19,0))="","",IF(INDEX(Obras!$H$5:$H$19,MATCH($B239,Obras!$A$5:$A$19,0))&gt;$L239,"VENCIDA",IF($L239-INDEX(Obras!$H$5:$H$19,MATCH($B239,Obras!$A$5:$A$19,0))&lt;=0.5,"VENCE EM ATÉ 6 MESES","VIGENTE"))),""))</x:f>
      </x:c>
      <x:c r="N239" s="268"/>
    </x:row>
    <x:row r="240" ht="30" customHeight="1">
      <x:c r="A240" s="176" t="str">
        <x:f>IF(OR($B240="",$C240=""),"","LC-"&amp;TEXT(236,"0000"))</x:f>
      </x:c>
      <x:c r="B240" s="259"/>
      <x:c r="C240" s="259"/>
      <x:c r="D240" s="271" t="str">
        <x:f>IF($B240="","",IFERROR(IF(INDEX(Obras!$G$5:$G$19,MATCH($B240,Obras!$A$5:$A$19,0))="","",INDEX(Obras!$G$5:$G$19,MATCH($B240,Obras!$A$5:$A$19,0))),""))</x:f>
      </x:c>
      <x:c r="E240" s="259"/>
      <x:c r="F240" s="268"/>
      <x:c r="G240" s="259"/>
      <x:c r="H240" s="259"/>
      <x:c r="I240" s="259"/>
      <x:c r="J240" s="181" t="str">
        <x:f t="shared" si="6"/>
      </x:c>
      <x:c r="K240" s="176" t="str">
        <x:f t="shared" si="7"/>
      </x:c>
      <x:c r="L240" s="181" t="str">
        <x:f>IF($C240="","",IFERROR(IF(INDEX(Catalogo!$H$5:$H$86,MATCH($C240,Catalogo!$A$5:$A$86,0))="","",INDEX(Catalogo!$H$5:$H$86,MATCH($C240,Catalogo!$A$5:$A$86,0))),""))</x:f>
      </x:c>
      <x:c r="M240" s="176" t="str">
        <x:f>IF(OR($B240="",$L240=""),"",IFERROR(IF(INDEX(Obras!$H$5:$H$19,MATCH($B240,Obras!$A$5:$A$19,0))="","",IF(INDEX(Obras!$H$5:$H$19,MATCH($B240,Obras!$A$5:$A$19,0))&gt;$L240,"VENCIDA",IF($L240-INDEX(Obras!$H$5:$H$19,MATCH($B240,Obras!$A$5:$A$19,0))&lt;=0.5,"VENCE EM ATÉ 6 MESES","VIGENTE"))),""))</x:f>
      </x:c>
      <x:c r="N240" s="268"/>
    </x:row>
    <x:row r="241" ht="30" customHeight="1">
      <x:c r="A241" s="176" t="str">
        <x:f>IF(OR($B241="",$C241=""),"","LC-"&amp;TEXT(237,"0000"))</x:f>
      </x:c>
      <x:c r="B241" s="259"/>
      <x:c r="C241" s="259"/>
      <x:c r="D241" s="271" t="str">
        <x:f>IF($B241="","",IFERROR(IF(INDEX(Obras!$G$5:$G$19,MATCH($B241,Obras!$A$5:$A$19,0))="","",INDEX(Obras!$G$5:$G$19,MATCH($B241,Obras!$A$5:$A$19,0))),""))</x:f>
      </x:c>
      <x:c r="E241" s="259"/>
      <x:c r="F241" s="268"/>
      <x:c r="G241" s="259"/>
      <x:c r="H241" s="259"/>
      <x:c r="I241" s="259"/>
      <x:c r="J241" s="181" t="str">
        <x:f t="shared" si="6"/>
      </x:c>
      <x:c r="K241" s="176" t="str">
        <x:f t="shared" si="7"/>
      </x:c>
      <x:c r="L241" s="181" t="str">
        <x:f>IF($C241="","",IFERROR(IF(INDEX(Catalogo!$H$5:$H$86,MATCH($C241,Catalogo!$A$5:$A$86,0))="","",INDEX(Catalogo!$H$5:$H$86,MATCH($C241,Catalogo!$A$5:$A$86,0))),""))</x:f>
      </x:c>
      <x:c r="M241" s="176" t="str">
        <x:f>IF(OR($B241="",$L241=""),"",IFERROR(IF(INDEX(Obras!$H$5:$H$19,MATCH($B241,Obras!$A$5:$A$19,0))="","",IF(INDEX(Obras!$H$5:$H$19,MATCH($B241,Obras!$A$5:$A$19,0))&gt;$L241,"VENCIDA",IF($L241-INDEX(Obras!$H$5:$H$19,MATCH($B241,Obras!$A$5:$A$19,0))&lt;=0.5,"VENCE EM ATÉ 6 MESES","VIGENTE"))),""))</x:f>
      </x:c>
      <x:c r="N241" s="268"/>
    </x:row>
    <x:row r="242" ht="30" customHeight="1">
      <x:c r="A242" s="176" t="str">
        <x:f>IF(OR($B242="",$C242=""),"","LC-"&amp;TEXT(238,"0000"))</x:f>
      </x:c>
      <x:c r="B242" s="259"/>
      <x:c r="C242" s="259"/>
      <x:c r="D242" s="271" t="str">
        <x:f>IF($B242="","",IFERROR(IF(INDEX(Obras!$G$5:$G$19,MATCH($B242,Obras!$A$5:$A$19,0))="","",INDEX(Obras!$G$5:$G$19,MATCH($B242,Obras!$A$5:$A$19,0))),""))</x:f>
      </x:c>
      <x:c r="E242" s="259"/>
      <x:c r="F242" s="268"/>
      <x:c r="G242" s="259"/>
      <x:c r="H242" s="259"/>
      <x:c r="I242" s="259"/>
      <x:c r="J242" s="181" t="str">
        <x:f t="shared" si="6"/>
      </x:c>
      <x:c r="K242" s="176" t="str">
        <x:f t="shared" si="7"/>
      </x:c>
      <x:c r="L242" s="181" t="str">
        <x:f>IF($C242="","",IFERROR(IF(INDEX(Catalogo!$H$5:$H$86,MATCH($C242,Catalogo!$A$5:$A$86,0))="","",INDEX(Catalogo!$H$5:$H$86,MATCH($C242,Catalogo!$A$5:$A$86,0))),""))</x:f>
      </x:c>
      <x:c r="M242" s="176" t="str">
        <x:f>IF(OR($B242="",$L242=""),"",IFERROR(IF(INDEX(Obras!$H$5:$H$19,MATCH($B242,Obras!$A$5:$A$19,0))="","",IF(INDEX(Obras!$H$5:$H$19,MATCH($B242,Obras!$A$5:$A$19,0))&gt;$L242,"VENCIDA",IF($L242-INDEX(Obras!$H$5:$H$19,MATCH($B242,Obras!$A$5:$A$19,0))&lt;=0.5,"VENCE EM ATÉ 6 MESES","VIGENTE"))),""))</x:f>
      </x:c>
      <x:c r="N242" s="268"/>
    </x:row>
    <x:row r="243" ht="30" customHeight="1">
      <x:c r="A243" s="176" t="str">
        <x:f>IF(OR($B243="",$C243=""),"","LC-"&amp;TEXT(239,"0000"))</x:f>
      </x:c>
      <x:c r="B243" s="259"/>
      <x:c r="C243" s="259"/>
      <x:c r="D243" s="271" t="str">
        <x:f>IF($B243="","",IFERROR(IF(INDEX(Obras!$G$5:$G$19,MATCH($B243,Obras!$A$5:$A$19,0))="","",INDEX(Obras!$G$5:$G$19,MATCH($B243,Obras!$A$5:$A$19,0))),""))</x:f>
      </x:c>
      <x:c r="E243" s="259"/>
      <x:c r="F243" s="268"/>
      <x:c r="G243" s="259"/>
      <x:c r="H243" s="259"/>
      <x:c r="I243" s="259"/>
      <x:c r="J243" s="181" t="str">
        <x:f t="shared" si="6"/>
      </x:c>
      <x:c r="K243" s="176" t="str">
        <x:f t="shared" si="7"/>
      </x:c>
      <x:c r="L243" s="181" t="str">
        <x:f>IF($C243="","",IFERROR(IF(INDEX(Catalogo!$H$5:$H$86,MATCH($C243,Catalogo!$A$5:$A$86,0))="","",INDEX(Catalogo!$H$5:$H$86,MATCH($C243,Catalogo!$A$5:$A$86,0))),""))</x:f>
      </x:c>
      <x:c r="M243" s="176" t="str">
        <x:f>IF(OR($B243="",$L243=""),"",IFERROR(IF(INDEX(Obras!$H$5:$H$19,MATCH($B243,Obras!$A$5:$A$19,0))="","",IF(INDEX(Obras!$H$5:$H$19,MATCH($B243,Obras!$A$5:$A$19,0))&gt;$L243,"VENCIDA",IF($L243-INDEX(Obras!$H$5:$H$19,MATCH($B243,Obras!$A$5:$A$19,0))&lt;=0.5,"VENCE EM ATÉ 6 MESES","VIGENTE"))),""))</x:f>
      </x:c>
      <x:c r="N243" s="268"/>
    </x:row>
    <x:row r="244" ht="30" customHeight="1">
      <x:c r="A244" s="176" t="str">
        <x:f>IF(OR($B244="",$C244=""),"","LC-"&amp;TEXT(240,"0000"))</x:f>
      </x:c>
      <x:c r="B244" s="259"/>
      <x:c r="C244" s="259"/>
      <x:c r="D244" s="271" t="str">
        <x:f>IF($B244="","",IFERROR(IF(INDEX(Obras!$G$5:$G$19,MATCH($B244,Obras!$A$5:$A$19,0))="","",INDEX(Obras!$G$5:$G$19,MATCH($B244,Obras!$A$5:$A$19,0))),""))</x:f>
      </x:c>
      <x:c r="E244" s="259"/>
      <x:c r="F244" s="268"/>
      <x:c r="G244" s="259"/>
      <x:c r="H244" s="259"/>
      <x:c r="I244" s="259"/>
      <x:c r="J244" s="181" t="str">
        <x:f t="shared" si="6"/>
      </x:c>
      <x:c r="K244" s="176" t="str">
        <x:f t="shared" si="7"/>
      </x:c>
      <x:c r="L244" s="181" t="str">
        <x:f>IF($C244="","",IFERROR(IF(INDEX(Catalogo!$H$5:$H$86,MATCH($C244,Catalogo!$A$5:$A$86,0))="","",INDEX(Catalogo!$H$5:$H$86,MATCH($C244,Catalogo!$A$5:$A$86,0))),""))</x:f>
      </x:c>
      <x:c r="M244" s="176" t="str">
        <x:f>IF(OR($B244="",$L244=""),"",IFERROR(IF(INDEX(Obras!$H$5:$H$19,MATCH($B244,Obras!$A$5:$A$19,0))="","",IF(INDEX(Obras!$H$5:$H$19,MATCH($B244,Obras!$A$5:$A$19,0))&gt;$L244,"VENCIDA",IF($L244-INDEX(Obras!$H$5:$H$19,MATCH($B244,Obras!$A$5:$A$19,0))&lt;=0.5,"VENCE EM ATÉ 6 MESES","VIGENTE"))),""))</x:f>
      </x:c>
      <x:c r="N244" s="268"/>
    </x:row>
    <x:row r="245" ht="30" customHeight="1">
      <x:c r="A245" s="176" t="str">
        <x:f>IF(OR($B245="",$C245=""),"","LC-"&amp;TEXT(241,"0000"))</x:f>
      </x:c>
      <x:c r="B245" s="259"/>
      <x:c r="C245" s="259"/>
      <x:c r="D245" s="271" t="str">
        <x:f>IF($B245="","",IFERROR(IF(INDEX(Obras!$G$5:$G$19,MATCH($B245,Obras!$A$5:$A$19,0))="","",INDEX(Obras!$G$5:$G$19,MATCH($B245,Obras!$A$5:$A$19,0))),""))</x:f>
      </x:c>
      <x:c r="E245" s="259"/>
      <x:c r="F245" s="268"/>
      <x:c r="G245" s="259"/>
      <x:c r="H245" s="259"/>
      <x:c r="I245" s="259"/>
      <x:c r="J245" s="181" t="str">
        <x:f t="shared" si="6"/>
      </x:c>
      <x:c r="K245" s="176" t="str">
        <x:f t="shared" si="7"/>
      </x:c>
      <x:c r="L245" s="181" t="str">
        <x:f>IF($C245="","",IFERROR(IF(INDEX(Catalogo!$H$5:$H$86,MATCH($C245,Catalogo!$A$5:$A$86,0))="","",INDEX(Catalogo!$H$5:$H$86,MATCH($C245,Catalogo!$A$5:$A$86,0))),""))</x:f>
      </x:c>
      <x:c r="M245" s="176" t="str">
        <x:f>IF(OR($B245="",$L245=""),"",IFERROR(IF(INDEX(Obras!$H$5:$H$19,MATCH($B245,Obras!$A$5:$A$19,0))="","",IF(INDEX(Obras!$H$5:$H$19,MATCH($B245,Obras!$A$5:$A$19,0))&gt;$L245,"VENCIDA",IF($L245-INDEX(Obras!$H$5:$H$19,MATCH($B245,Obras!$A$5:$A$19,0))&lt;=0.5,"VENCE EM ATÉ 6 MESES","VIGENTE"))),""))</x:f>
      </x:c>
      <x:c r="N245" s="268"/>
    </x:row>
    <x:row r="246" ht="30" customHeight="1">
      <x:c r="A246" s="176" t="str">
        <x:f>IF(OR($B246="",$C246=""),"","LC-"&amp;TEXT(242,"0000"))</x:f>
      </x:c>
      <x:c r="B246" s="259"/>
      <x:c r="C246" s="259"/>
      <x:c r="D246" s="271" t="str">
        <x:f>IF($B246="","",IFERROR(IF(INDEX(Obras!$G$5:$G$19,MATCH($B246,Obras!$A$5:$A$19,0))="","",INDEX(Obras!$G$5:$G$19,MATCH($B246,Obras!$A$5:$A$19,0))),""))</x:f>
      </x:c>
      <x:c r="E246" s="259"/>
      <x:c r="F246" s="268"/>
      <x:c r="G246" s="259"/>
      <x:c r="H246" s="259"/>
      <x:c r="I246" s="259"/>
      <x:c r="J246" s="181" t="str">
        <x:f t="shared" si="6"/>
      </x:c>
      <x:c r="K246" s="176" t="str">
        <x:f t="shared" si="7"/>
      </x:c>
      <x:c r="L246" s="181" t="str">
        <x:f>IF($C246="","",IFERROR(IF(INDEX(Catalogo!$H$5:$H$86,MATCH($C246,Catalogo!$A$5:$A$86,0))="","",INDEX(Catalogo!$H$5:$H$86,MATCH($C246,Catalogo!$A$5:$A$86,0))),""))</x:f>
      </x:c>
      <x:c r="M246" s="176" t="str">
        <x:f>IF(OR($B246="",$L246=""),"",IFERROR(IF(INDEX(Obras!$H$5:$H$19,MATCH($B246,Obras!$A$5:$A$19,0))="","",IF(INDEX(Obras!$H$5:$H$19,MATCH($B246,Obras!$A$5:$A$19,0))&gt;$L246,"VENCIDA",IF($L246-INDEX(Obras!$H$5:$H$19,MATCH($B246,Obras!$A$5:$A$19,0))&lt;=0.5,"VENCE EM ATÉ 6 MESES","VIGENTE"))),""))</x:f>
      </x:c>
      <x:c r="N246" s="268"/>
    </x:row>
    <x:row r="247" ht="30" customHeight="1">
      <x:c r="A247" s="176" t="str">
        <x:f>IF(OR($B247="",$C247=""),"","LC-"&amp;TEXT(243,"0000"))</x:f>
      </x:c>
      <x:c r="B247" s="259"/>
      <x:c r="C247" s="259"/>
      <x:c r="D247" s="271" t="str">
        <x:f>IF($B247="","",IFERROR(IF(INDEX(Obras!$G$5:$G$19,MATCH($B247,Obras!$A$5:$A$19,0))="","",INDEX(Obras!$G$5:$G$19,MATCH($B247,Obras!$A$5:$A$19,0))),""))</x:f>
      </x:c>
      <x:c r="E247" s="259"/>
      <x:c r="F247" s="268"/>
      <x:c r="G247" s="259"/>
      <x:c r="H247" s="259"/>
      <x:c r="I247" s="259"/>
      <x:c r="J247" s="181" t="str">
        <x:f t="shared" si="6"/>
      </x:c>
      <x:c r="K247" s="176" t="str">
        <x:f t="shared" si="7"/>
      </x:c>
      <x:c r="L247" s="181" t="str">
        <x:f>IF($C247="","",IFERROR(IF(INDEX(Catalogo!$H$5:$H$86,MATCH($C247,Catalogo!$A$5:$A$86,0))="","",INDEX(Catalogo!$H$5:$H$86,MATCH($C247,Catalogo!$A$5:$A$86,0))),""))</x:f>
      </x:c>
      <x:c r="M247" s="176" t="str">
        <x:f>IF(OR($B247="",$L247=""),"",IFERROR(IF(INDEX(Obras!$H$5:$H$19,MATCH($B247,Obras!$A$5:$A$19,0))="","",IF(INDEX(Obras!$H$5:$H$19,MATCH($B247,Obras!$A$5:$A$19,0))&gt;$L247,"VENCIDA",IF($L247-INDEX(Obras!$H$5:$H$19,MATCH($B247,Obras!$A$5:$A$19,0))&lt;=0.5,"VENCE EM ATÉ 6 MESES","VIGENTE"))),""))</x:f>
      </x:c>
      <x:c r="N247" s="268"/>
    </x:row>
    <x:row r="248" ht="30" customHeight="1">
      <x:c r="A248" s="176" t="str">
        <x:f>IF(OR($B248="",$C248=""),"","LC-"&amp;TEXT(244,"0000"))</x:f>
      </x:c>
      <x:c r="B248" s="259"/>
      <x:c r="C248" s="259"/>
      <x:c r="D248" s="271" t="str">
        <x:f>IF($B248="","",IFERROR(IF(INDEX(Obras!$G$5:$G$19,MATCH($B248,Obras!$A$5:$A$19,0))="","",INDEX(Obras!$G$5:$G$19,MATCH($B248,Obras!$A$5:$A$19,0))),""))</x:f>
      </x:c>
      <x:c r="E248" s="259"/>
      <x:c r="F248" s="268"/>
      <x:c r="G248" s="259"/>
      <x:c r="H248" s="259"/>
      <x:c r="I248" s="259"/>
      <x:c r="J248" s="181" t="str">
        <x:f t="shared" si="6"/>
      </x:c>
      <x:c r="K248" s="176" t="str">
        <x:f t="shared" si="7"/>
      </x:c>
      <x:c r="L248" s="181" t="str">
        <x:f>IF($C248="","",IFERROR(IF(INDEX(Catalogo!$H$5:$H$86,MATCH($C248,Catalogo!$A$5:$A$86,0))="","",INDEX(Catalogo!$H$5:$H$86,MATCH($C248,Catalogo!$A$5:$A$86,0))),""))</x:f>
      </x:c>
      <x:c r="M248" s="176" t="str">
        <x:f>IF(OR($B248="",$L248=""),"",IFERROR(IF(INDEX(Obras!$H$5:$H$19,MATCH($B248,Obras!$A$5:$A$19,0))="","",IF(INDEX(Obras!$H$5:$H$19,MATCH($B248,Obras!$A$5:$A$19,0))&gt;$L248,"VENCIDA",IF($L248-INDEX(Obras!$H$5:$H$19,MATCH($B248,Obras!$A$5:$A$19,0))&lt;=0.5,"VENCE EM ATÉ 6 MESES","VIGENTE"))),""))</x:f>
      </x:c>
      <x:c r="N248" s="268"/>
    </x:row>
    <x:row r="249" ht="30" customHeight="1">
      <x:c r="A249" s="176" t="str">
        <x:f>IF(OR($B249="",$C249=""),"","LC-"&amp;TEXT(245,"0000"))</x:f>
      </x:c>
      <x:c r="B249" s="259"/>
      <x:c r="C249" s="259"/>
      <x:c r="D249" s="271" t="str">
        <x:f>IF($B249="","",IFERROR(IF(INDEX(Obras!$G$5:$G$19,MATCH($B249,Obras!$A$5:$A$19,0))="","",INDEX(Obras!$G$5:$G$19,MATCH($B249,Obras!$A$5:$A$19,0))),""))</x:f>
      </x:c>
      <x:c r="E249" s="259"/>
      <x:c r="F249" s="268"/>
      <x:c r="G249" s="259"/>
      <x:c r="H249" s="259"/>
      <x:c r="I249" s="259"/>
      <x:c r="J249" s="181" t="str">
        <x:f t="shared" si="6"/>
      </x:c>
      <x:c r="K249" s="176" t="str">
        <x:f t="shared" si="7"/>
      </x:c>
      <x:c r="L249" s="181" t="str">
        <x:f>IF($C249="","",IFERROR(IF(INDEX(Catalogo!$H$5:$H$86,MATCH($C249,Catalogo!$A$5:$A$86,0))="","",INDEX(Catalogo!$H$5:$H$86,MATCH($C249,Catalogo!$A$5:$A$86,0))),""))</x:f>
      </x:c>
      <x:c r="M249" s="176" t="str">
        <x:f>IF(OR($B249="",$L249=""),"",IFERROR(IF(INDEX(Obras!$H$5:$H$19,MATCH($B249,Obras!$A$5:$A$19,0))="","",IF(INDEX(Obras!$H$5:$H$19,MATCH($B249,Obras!$A$5:$A$19,0))&gt;$L249,"VENCIDA",IF($L249-INDEX(Obras!$H$5:$H$19,MATCH($B249,Obras!$A$5:$A$19,0))&lt;=0.5,"VENCE EM ATÉ 6 MESES","VIGENTE"))),""))</x:f>
      </x:c>
      <x:c r="N249" s="268"/>
    </x:row>
    <x:row r="250" ht="30" customHeight="1">
      <x:c r="A250" s="176" t="str">
        <x:f>IF(OR($B250="",$C250=""),"","LC-"&amp;TEXT(246,"0000"))</x:f>
      </x:c>
      <x:c r="B250" s="259"/>
      <x:c r="C250" s="259"/>
      <x:c r="D250" s="271" t="str">
        <x:f>IF($B250="","",IFERROR(IF(INDEX(Obras!$G$5:$G$19,MATCH($B250,Obras!$A$5:$A$19,0))="","",INDEX(Obras!$G$5:$G$19,MATCH($B250,Obras!$A$5:$A$19,0))),""))</x:f>
      </x:c>
      <x:c r="E250" s="259"/>
      <x:c r="F250" s="268"/>
      <x:c r="G250" s="259"/>
      <x:c r="H250" s="259"/>
      <x:c r="I250" s="259"/>
      <x:c r="J250" s="181" t="str">
        <x:f t="shared" si="6"/>
      </x:c>
      <x:c r="K250" s="176" t="str">
        <x:f t="shared" si="7"/>
      </x:c>
      <x:c r="L250" s="181" t="str">
        <x:f>IF($C250="","",IFERROR(IF(INDEX(Catalogo!$H$5:$H$86,MATCH($C250,Catalogo!$A$5:$A$86,0))="","",INDEX(Catalogo!$H$5:$H$86,MATCH($C250,Catalogo!$A$5:$A$86,0))),""))</x:f>
      </x:c>
      <x:c r="M250" s="176" t="str">
        <x:f>IF(OR($B250="",$L250=""),"",IFERROR(IF(INDEX(Obras!$H$5:$H$19,MATCH($B250,Obras!$A$5:$A$19,0))="","",IF(INDEX(Obras!$H$5:$H$19,MATCH($B250,Obras!$A$5:$A$19,0))&gt;$L250,"VENCIDA",IF($L250-INDEX(Obras!$H$5:$H$19,MATCH($B250,Obras!$A$5:$A$19,0))&lt;=0.5,"VENCE EM ATÉ 6 MESES","VIGENTE"))),""))</x:f>
      </x:c>
      <x:c r="N250" s="268"/>
    </x:row>
    <x:row r="251" ht="30" customHeight="1">
      <x:c r="A251" s="176" t="str">
        <x:f>IF(OR($B251="",$C251=""),"","LC-"&amp;TEXT(247,"0000"))</x:f>
      </x:c>
      <x:c r="B251" s="259"/>
      <x:c r="C251" s="259"/>
      <x:c r="D251" s="271" t="str">
        <x:f>IF($B251="","",IFERROR(IF(INDEX(Obras!$G$5:$G$19,MATCH($B251,Obras!$A$5:$A$19,0))="","",INDEX(Obras!$G$5:$G$19,MATCH($B251,Obras!$A$5:$A$19,0))),""))</x:f>
      </x:c>
      <x:c r="E251" s="259"/>
      <x:c r="F251" s="268"/>
      <x:c r="G251" s="259"/>
      <x:c r="H251" s="259"/>
      <x:c r="I251" s="259"/>
      <x:c r="J251" s="181" t="str">
        <x:f t="shared" si="6"/>
      </x:c>
      <x:c r="K251" s="176" t="str">
        <x:f t="shared" si="7"/>
      </x:c>
      <x:c r="L251" s="181" t="str">
        <x:f>IF($C251="","",IFERROR(IF(INDEX(Catalogo!$H$5:$H$86,MATCH($C251,Catalogo!$A$5:$A$86,0))="","",INDEX(Catalogo!$H$5:$H$86,MATCH($C251,Catalogo!$A$5:$A$86,0))),""))</x:f>
      </x:c>
      <x:c r="M251" s="176" t="str">
        <x:f>IF(OR($B251="",$L251=""),"",IFERROR(IF(INDEX(Obras!$H$5:$H$19,MATCH($B251,Obras!$A$5:$A$19,0))="","",IF(INDEX(Obras!$H$5:$H$19,MATCH($B251,Obras!$A$5:$A$19,0))&gt;$L251,"VENCIDA",IF($L251-INDEX(Obras!$H$5:$H$19,MATCH($B251,Obras!$A$5:$A$19,0))&lt;=0.5,"VENCE EM ATÉ 6 MESES","VIGENTE"))),""))</x:f>
      </x:c>
      <x:c r="N251" s="268"/>
    </x:row>
    <x:row r="252" ht="30" customHeight="1">
      <x:c r="A252" s="176" t="str">
        <x:f>IF(OR($B252="",$C252=""),"","LC-"&amp;TEXT(248,"0000"))</x:f>
      </x:c>
      <x:c r="B252" s="259"/>
      <x:c r="C252" s="259"/>
      <x:c r="D252" s="271" t="str">
        <x:f>IF($B252="","",IFERROR(IF(INDEX(Obras!$G$5:$G$19,MATCH($B252,Obras!$A$5:$A$19,0))="","",INDEX(Obras!$G$5:$G$19,MATCH($B252,Obras!$A$5:$A$19,0))),""))</x:f>
      </x:c>
      <x:c r="E252" s="259"/>
      <x:c r="F252" s="268"/>
      <x:c r="G252" s="259"/>
      <x:c r="H252" s="259"/>
      <x:c r="I252" s="259"/>
      <x:c r="J252" s="181" t="str">
        <x:f t="shared" si="6"/>
      </x:c>
      <x:c r="K252" s="176" t="str">
        <x:f t="shared" si="7"/>
      </x:c>
      <x:c r="L252" s="181" t="str">
        <x:f>IF($C252="","",IFERROR(IF(INDEX(Catalogo!$H$5:$H$86,MATCH($C252,Catalogo!$A$5:$A$86,0))="","",INDEX(Catalogo!$H$5:$H$86,MATCH($C252,Catalogo!$A$5:$A$86,0))),""))</x:f>
      </x:c>
      <x:c r="M252" s="176" t="str">
        <x:f>IF(OR($B252="",$L252=""),"",IFERROR(IF(INDEX(Obras!$H$5:$H$19,MATCH($B252,Obras!$A$5:$A$19,0))="","",IF(INDEX(Obras!$H$5:$H$19,MATCH($B252,Obras!$A$5:$A$19,0))&gt;$L252,"VENCIDA",IF($L252-INDEX(Obras!$H$5:$H$19,MATCH($B252,Obras!$A$5:$A$19,0))&lt;=0.5,"VENCE EM ATÉ 6 MESES","VIGENTE"))),""))</x:f>
      </x:c>
      <x:c r="N252" s="268"/>
    </x:row>
    <x:row r="253" ht="30" customHeight="1">
      <x:c r="A253" s="176" t="str">
        <x:f>IF(OR($B253="",$C253=""),"","LC-"&amp;TEXT(249,"0000"))</x:f>
      </x:c>
      <x:c r="B253" s="259"/>
      <x:c r="C253" s="259"/>
      <x:c r="D253" s="271" t="str">
        <x:f>IF($B253="","",IFERROR(IF(INDEX(Obras!$G$5:$G$19,MATCH($B253,Obras!$A$5:$A$19,0))="","",INDEX(Obras!$G$5:$G$19,MATCH($B253,Obras!$A$5:$A$19,0))),""))</x:f>
      </x:c>
      <x:c r="E253" s="259"/>
      <x:c r="F253" s="268"/>
      <x:c r="G253" s="259"/>
      <x:c r="H253" s="259"/>
      <x:c r="I253" s="259"/>
      <x:c r="J253" s="181" t="str">
        <x:f t="shared" si="6"/>
      </x:c>
      <x:c r="K253" s="176" t="str">
        <x:f t="shared" si="7"/>
      </x:c>
      <x:c r="L253" s="181" t="str">
        <x:f>IF($C253="","",IFERROR(IF(INDEX(Catalogo!$H$5:$H$86,MATCH($C253,Catalogo!$A$5:$A$86,0))="","",INDEX(Catalogo!$H$5:$H$86,MATCH($C253,Catalogo!$A$5:$A$86,0))),""))</x:f>
      </x:c>
      <x:c r="M253" s="176" t="str">
        <x:f>IF(OR($B253="",$L253=""),"",IFERROR(IF(INDEX(Obras!$H$5:$H$19,MATCH($B253,Obras!$A$5:$A$19,0))="","",IF(INDEX(Obras!$H$5:$H$19,MATCH($B253,Obras!$A$5:$A$19,0))&gt;$L253,"VENCIDA",IF($L253-INDEX(Obras!$H$5:$H$19,MATCH($B253,Obras!$A$5:$A$19,0))&lt;=0.5,"VENCE EM ATÉ 6 MESES","VIGENTE"))),""))</x:f>
      </x:c>
      <x:c r="N253" s="268"/>
    </x:row>
    <x:row r="254" ht="30" customHeight="1">
      <x:c r="A254" s="176" t="str">
        <x:f>IF(OR($B254="",$C254=""),"","LC-"&amp;TEXT(250,"0000"))</x:f>
      </x:c>
      <x:c r="B254" s="259"/>
      <x:c r="C254" s="259"/>
      <x:c r="D254" s="271" t="str">
        <x:f>IF($B254="","",IFERROR(IF(INDEX(Obras!$G$5:$G$19,MATCH($B254,Obras!$A$5:$A$19,0))="","",INDEX(Obras!$G$5:$G$19,MATCH($B254,Obras!$A$5:$A$19,0))),""))</x:f>
      </x:c>
      <x:c r="E254" s="259"/>
      <x:c r="F254" s="268"/>
      <x:c r="G254" s="259"/>
      <x:c r="H254" s="259"/>
      <x:c r="I254" s="259"/>
      <x:c r="J254" s="181" t="str">
        <x:f t="shared" si="6"/>
      </x:c>
      <x:c r="K254" s="176" t="str">
        <x:f t="shared" si="7"/>
      </x:c>
      <x:c r="L254" s="181" t="str">
        <x:f>IF($C254="","",IFERROR(IF(INDEX(Catalogo!$H$5:$H$86,MATCH($C254,Catalogo!$A$5:$A$86,0))="","",INDEX(Catalogo!$H$5:$H$86,MATCH($C254,Catalogo!$A$5:$A$86,0))),""))</x:f>
      </x:c>
      <x:c r="M254" s="176" t="str">
        <x:f>IF(OR($B254="",$L254=""),"",IFERROR(IF(INDEX(Obras!$H$5:$H$19,MATCH($B254,Obras!$A$5:$A$19,0))="","",IF(INDEX(Obras!$H$5:$H$19,MATCH($B254,Obras!$A$5:$A$19,0))&gt;$L254,"VENCIDA",IF($L254-INDEX(Obras!$H$5:$H$19,MATCH($B254,Obras!$A$5:$A$19,0))&lt;=0.5,"VENCE EM ATÉ 6 MESES","VIGENTE"))),""))</x:f>
      </x:c>
      <x:c r="N254" s="268"/>
    </x:row>
    <x:row r="255" ht="30" customHeight="1">
      <x:c r="A255" s="176" t="str">
        <x:f>IF(OR($B255="",$C255=""),"","LC-"&amp;TEXT(251,"0000"))</x:f>
      </x:c>
      <x:c r="B255" s="259"/>
      <x:c r="C255" s="259"/>
      <x:c r="D255" s="271" t="str">
        <x:f>IF($B255="","",IFERROR(IF(INDEX(Obras!$G$5:$G$19,MATCH($B255,Obras!$A$5:$A$19,0))="","",INDEX(Obras!$G$5:$G$19,MATCH($B255,Obras!$A$5:$A$19,0))),""))</x:f>
      </x:c>
      <x:c r="E255" s="259"/>
      <x:c r="F255" s="268"/>
      <x:c r="G255" s="259"/>
      <x:c r="H255" s="259"/>
      <x:c r="I255" s="259"/>
      <x:c r="J255" s="181" t="str">
        <x:f t="shared" si="6"/>
      </x:c>
      <x:c r="K255" s="176" t="str">
        <x:f t="shared" si="7"/>
      </x:c>
      <x:c r="L255" s="181" t="str">
        <x:f>IF($C255="","",IFERROR(IF(INDEX(Catalogo!$H$5:$H$86,MATCH($C255,Catalogo!$A$5:$A$86,0))="","",INDEX(Catalogo!$H$5:$H$86,MATCH($C255,Catalogo!$A$5:$A$86,0))),""))</x:f>
      </x:c>
      <x:c r="M255" s="176" t="str">
        <x:f>IF(OR($B255="",$L255=""),"",IFERROR(IF(INDEX(Obras!$H$5:$H$19,MATCH($B255,Obras!$A$5:$A$19,0))="","",IF(INDEX(Obras!$H$5:$H$19,MATCH($B255,Obras!$A$5:$A$19,0))&gt;$L255,"VENCIDA",IF($L255-INDEX(Obras!$H$5:$H$19,MATCH($B255,Obras!$A$5:$A$19,0))&lt;=0.5,"VENCE EM ATÉ 6 MESES","VIGENTE"))),""))</x:f>
      </x:c>
      <x:c r="N255" s="268"/>
    </x:row>
    <x:row r="256" ht="30" customHeight="1">
      <x:c r="A256" s="176" t="str">
        <x:f>IF(OR($B256="",$C256=""),"","LC-"&amp;TEXT(252,"0000"))</x:f>
      </x:c>
      <x:c r="B256" s="259"/>
      <x:c r="C256" s="259"/>
      <x:c r="D256" s="271" t="str">
        <x:f>IF($B256="","",IFERROR(IF(INDEX(Obras!$G$5:$G$19,MATCH($B256,Obras!$A$5:$A$19,0))="","",INDEX(Obras!$G$5:$G$19,MATCH($B256,Obras!$A$5:$A$19,0))),""))</x:f>
      </x:c>
      <x:c r="E256" s="259"/>
      <x:c r="F256" s="268"/>
      <x:c r="G256" s="259"/>
      <x:c r="H256" s="259"/>
      <x:c r="I256" s="259"/>
      <x:c r="J256" s="181" t="str">
        <x:f t="shared" si="6"/>
      </x:c>
      <x:c r="K256" s="176" t="str">
        <x:f t="shared" si="7"/>
      </x:c>
      <x:c r="L256" s="181" t="str">
        <x:f>IF($C256="","",IFERROR(IF(INDEX(Catalogo!$H$5:$H$86,MATCH($C256,Catalogo!$A$5:$A$86,0))="","",INDEX(Catalogo!$H$5:$H$86,MATCH($C256,Catalogo!$A$5:$A$86,0))),""))</x:f>
      </x:c>
      <x:c r="M256" s="176" t="str">
        <x:f>IF(OR($B256="",$L256=""),"",IFERROR(IF(INDEX(Obras!$H$5:$H$19,MATCH($B256,Obras!$A$5:$A$19,0))="","",IF(INDEX(Obras!$H$5:$H$19,MATCH($B256,Obras!$A$5:$A$19,0))&gt;$L256,"VENCIDA",IF($L256-INDEX(Obras!$H$5:$H$19,MATCH($B256,Obras!$A$5:$A$19,0))&lt;=0.5,"VENCE EM ATÉ 6 MESES","VIGENTE"))),""))</x:f>
      </x:c>
      <x:c r="N256" s="268"/>
    </x:row>
    <x:row r="257" ht="30" customHeight="1">
      <x:c r="A257" s="176" t="str">
        <x:f>IF(OR($B257="",$C257=""),"","LC-"&amp;TEXT(253,"0000"))</x:f>
      </x:c>
      <x:c r="B257" s="259"/>
      <x:c r="C257" s="259"/>
      <x:c r="D257" s="271" t="str">
        <x:f>IF($B257="","",IFERROR(IF(INDEX(Obras!$G$5:$G$19,MATCH($B257,Obras!$A$5:$A$19,0))="","",INDEX(Obras!$G$5:$G$19,MATCH($B257,Obras!$A$5:$A$19,0))),""))</x:f>
      </x:c>
      <x:c r="E257" s="259"/>
      <x:c r="F257" s="268"/>
      <x:c r="G257" s="259"/>
      <x:c r="H257" s="259"/>
      <x:c r="I257" s="259"/>
      <x:c r="J257" s="181" t="str">
        <x:f t="shared" si="6"/>
      </x:c>
      <x:c r="K257" s="176" t="str">
        <x:f t="shared" si="7"/>
      </x:c>
      <x:c r="L257" s="181" t="str">
        <x:f>IF($C257="","",IFERROR(IF(INDEX(Catalogo!$H$5:$H$86,MATCH($C257,Catalogo!$A$5:$A$86,0))="","",INDEX(Catalogo!$H$5:$H$86,MATCH($C257,Catalogo!$A$5:$A$86,0))),""))</x:f>
      </x:c>
      <x:c r="M257" s="176" t="str">
        <x:f>IF(OR($B257="",$L257=""),"",IFERROR(IF(INDEX(Obras!$H$5:$H$19,MATCH($B257,Obras!$A$5:$A$19,0))="","",IF(INDEX(Obras!$H$5:$H$19,MATCH($B257,Obras!$A$5:$A$19,0))&gt;$L257,"VENCIDA",IF($L257-INDEX(Obras!$H$5:$H$19,MATCH($B257,Obras!$A$5:$A$19,0))&lt;=0.5,"VENCE EM ATÉ 6 MESES","VIGENTE"))),""))</x:f>
      </x:c>
      <x:c r="N257" s="268"/>
    </x:row>
    <x:row r="258" ht="30" customHeight="1">
      <x:c r="A258" s="176" t="str">
        <x:f>IF(OR($B258="",$C258=""),"","LC-"&amp;TEXT(254,"0000"))</x:f>
      </x:c>
      <x:c r="B258" s="259"/>
      <x:c r="C258" s="259"/>
      <x:c r="D258" s="271" t="str">
        <x:f>IF($B258="","",IFERROR(IF(INDEX(Obras!$G$5:$G$19,MATCH($B258,Obras!$A$5:$A$19,0))="","",INDEX(Obras!$G$5:$G$19,MATCH($B258,Obras!$A$5:$A$19,0))),""))</x:f>
      </x:c>
      <x:c r="E258" s="259"/>
      <x:c r="F258" s="268"/>
      <x:c r="G258" s="259"/>
      <x:c r="H258" s="259"/>
      <x:c r="I258" s="259"/>
      <x:c r="J258" s="181" t="str">
        <x:f t="shared" si="6"/>
      </x:c>
      <x:c r="K258" s="176" t="str">
        <x:f t="shared" si="7"/>
      </x:c>
      <x:c r="L258" s="181" t="str">
        <x:f>IF($C258="","",IFERROR(IF(INDEX(Catalogo!$H$5:$H$86,MATCH($C258,Catalogo!$A$5:$A$86,0))="","",INDEX(Catalogo!$H$5:$H$86,MATCH($C258,Catalogo!$A$5:$A$86,0))),""))</x:f>
      </x:c>
      <x:c r="M258" s="176" t="str">
        <x:f>IF(OR($B258="",$L258=""),"",IFERROR(IF(INDEX(Obras!$H$5:$H$19,MATCH($B258,Obras!$A$5:$A$19,0))="","",IF(INDEX(Obras!$H$5:$H$19,MATCH($B258,Obras!$A$5:$A$19,0))&gt;$L258,"VENCIDA",IF($L258-INDEX(Obras!$H$5:$H$19,MATCH($B258,Obras!$A$5:$A$19,0))&lt;=0.5,"VENCE EM ATÉ 6 MESES","VIGENTE"))),""))</x:f>
      </x:c>
      <x:c r="N258" s="268"/>
    </x:row>
    <x:row r="259" ht="30" customHeight="1">
      <x:c r="A259" s="176" t="str">
        <x:f>IF(OR($B259="",$C259=""),"","LC-"&amp;TEXT(255,"0000"))</x:f>
      </x:c>
      <x:c r="B259" s="259"/>
      <x:c r="C259" s="259"/>
      <x:c r="D259" s="271" t="str">
        <x:f>IF($B259="","",IFERROR(IF(INDEX(Obras!$G$5:$G$19,MATCH($B259,Obras!$A$5:$A$19,0))="","",INDEX(Obras!$G$5:$G$19,MATCH($B259,Obras!$A$5:$A$19,0))),""))</x:f>
      </x:c>
      <x:c r="E259" s="259"/>
      <x:c r="F259" s="268"/>
      <x:c r="G259" s="259"/>
      <x:c r="H259" s="259"/>
      <x:c r="I259" s="259"/>
      <x:c r="J259" s="181" t="str">
        <x:f t="shared" si="6"/>
      </x:c>
      <x:c r="K259" s="176" t="str">
        <x:f t="shared" si="7"/>
      </x:c>
      <x:c r="L259" s="181" t="str">
        <x:f>IF($C259="","",IFERROR(IF(INDEX(Catalogo!$H$5:$H$86,MATCH($C259,Catalogo!$A$5:$A$86,0))="","",INDEX(Catalogo!$H$5:$H$86,MATCH($C259,Catalogo!$A$5:$A$86,0))),""))</x:f>
      </x:c>
      <x:c r="M259" s="176" t="str">
        <x:f>IF(OR($B259="",$L259=""),"",IFERROR(IF(INDEX(Obras!$H$5:$H$19,MATCH($B259,Obras!$A$5:$A$19,0))="","",IF(INDEX(Obras!$H$5:$H$19,MATCH($B259,Obras!$A$5:$A$19,0))&gt;$L259,"VENCIDA",IF($L259-INDEX(Obras!$H$5:$H$19,MATCH($B259,Obras!$A$5:$A$19,0))&lt;=0.5,"VENCE EM ATÉ 6 MESES","VIGENTE"))),""))</x:f>
      </x:c>
      <x:c r="N259" s="268"/>
    </x:row>
    <x:row r="260" ht="30" customHeight="1">
      <x:c r="A260" s="176" t="str">
        <x:f>IF(OR($B260="",$C260=""),"","LC-"&amp;TEXT(256,"0000"))</x:f>
      </x:c>
      <x:c r="B260" s="259"/>
      <x:c r="C260" s="259"/>
      <x:c r="D260" s="271" t="str">
        <x:f>IF($B260="","",IFERROR(IF(INDEX(Obras!$G$5:$G$19,MATCH($B260,Obras!$A$5:$A$19,0))="","",INDEX(Obras!$G$5:$G$19,MATCH($B260,Obras!$A$5:$A$19,0))),""))</x:f>
      </x:c>
      <x:c r="E260" s="259"/>
      <x:c r="F260" s="268"/>
      <x:c r="G260" s="259"/>
      <x:c r="H260" s="259"/>
      <x:c r="I260" s="259"/>
      <x:c r="J260" s="181" t="str">
        <x:f t="shared" si="6"/>
      </x:c>
      <x:c r="K260" s="176" t="str">
        <x:f t="shared" si="7"/>
      </x:c>
      <x:c r="L260" s="181" t="str">
        <x:f>IF($C260="","",IFERROR(IF(INDEX(Catalogo!$H$5:$H$86,MATCH($C260,Catalogo!$A$5:$A$86,0))="","",INDEX(Catalogo!$H$5:$H$86,MATCH($C260,Catalogo!$A$5:$A$86,0))),""))</x:f>
      </x:c>
      <x:c r="M260" s="176" t="str">
        <x:f>IF(OR($B260="",$L260=""),"",IFERROR(IF(INDEX(Obras!$H$5:$H$19,MATCH($B260,Obras!$A$5:$A$19,0))="","",IF(INDEX(Obras!$H$5:$H$19,MATCH($B260,Obras!$A$5:$A$19,0))&gt;$L260,"VENCIDA",IF($L260-INDEX(Obras!$H$5:$H$19,MATCH($B260,Obras!$A$5:$A$19,0))&lt;=0.5,"VENCE EM ATÉ 6 MESES","VIGENTE"))),""))</x:f>
      </x:c>
      <x:c r="N260" s="268"/>
    </x:row>
    <x:row r="261" ht="30" customHeight="1">
      <x:c r="A261" s="176" t="str">
        <x:f>IF(OR($B261="",$C261=""),"","LC-"&amp;TEXT(257,"0000"))</x:f>
      </x:c>
      <x:c r="B261" s="259"/>
      <x:c r="C261" s="259"/>
      <x:c r="D261" s="271" t="str">
        <x:f>IF($B261="","",IFERROR(IF(INDEX(Obras!$G$5:$G$19,MATCH($B261,Obras!$A$5:$A$19,0))="","",INDEX(Obras!$G$5:$G$19,MATCH($B261,Obras!$A$5:$A$19,0))),""))</x:f>
      </x:c>
      <x:c r="E261" s="259"/>
      <x:c r="F261" s="268"/>
      <x:c r="G261" s="259"/>
      <x:c r="H261" s="259"/>
      <x:c r="I261" s="259"/>
      <x:c r="J261" s="181" t="str">
        <x:f t="shared" ref="J261:J324" si="8">IF(COUNT($G261:$I261)=3,$G261*$H261*$I261,"")</x:f>
      </x:c>
      <x:c r="K261" s="176" t="str">
        <x:f t="shared" ref="K261:K324" si="9">IF($J261="","",IF($J261&gt;=512,"Prioridade 1",IF($J261&gt;=108,"Prioridade 2","Prioridade 3")))</x:f>
      </x:c>
      <x:c r="L261" s="181" t="str">
        <x:f>IF($C261="","",IFERROR(IF(INDEX(Catalogo!$H$5:$H$86,MATCH($C261,Catalogo!$A$5:$A$86,0))="","",INDEX(Catalogo!$H$5:$H$86,MATCH($C261,Catalogo!$A$5:$A$86,0))),""))</x:f>
      </x:c>
      <x:c r="M261" s="176" t="str">
        <x:f>IF(OR($B261="",$L261=""),"",IFERROR(IF(INDEX(Obras!$H$5:$H$19,MATCH($B261,Obras!$A$5:$A$19,0))="","",IF(INDEX(Obras!$H$5:$H$19,MATCH($B261,Obras!$A$5:$A$19,0))&gt;$L261,"VENCIDA",IF($L261-INDEX(Obras!$H$5:$H$19,MATCH($B261,Obras!$A$5:$A$19,0))&lt;=0.5,"VENCE EM ATÉ 6 MESES","VIGENTE"))),""))</x:f>
      </x:c>
      <x:c r="N261" s="268"/>
    </x:row>
    <x:row r="262" ht="30" customHeight="1">
      <x:c r="A262" s="176" t="str">
        <x:f>IF(OR($B262="",$C262=""),"","LC-"&amp;TEXT(258,"0000"))</x:f>
      </x:c>
      <x:c r="B262" s="259"/>
      <x:c r="C262" s="259"/>
      <x:c r="D262" s="271" t="str">
        <x:f>IF($B262="","",IFERROR(IF(INDEX(Obras!$G$5:$G$19,MATCH($B262,Obras!$A$5:$A$19,0))="","",INDEX(Obras!$G$5:$G$19,MATCH($B262,Obras!$A$5:$A$19,0))),""))</x:f>
      </x:c>
      <x:c r="E262" s="259"/>
      <x:c r="F262" s="268"/>
      <x:c r="G262" s="259"/>
      <x:c r="H262" s="259"/>
      <x:c r="I262" s="259"/>
      <x:c r="J262" s="181" t="str">
        <x:f t="shared" si="8"/>
      </x:c>
      <x:c r="K262" s="176" t="str">
        <x:f t="shared" si="9"/>
      </x:c>
      <x:c r="L262" s="181" t="str">
        <x:f>IF($C262="","",IFERROR(IF(INDEX(Catalogo!$H$5:$H$86,MATCH($C262,Catalogo!$A$5:$A$86,0))="","",INDEX(Catalogo!$H$5:$H$86,MATCH($C262,Catalogo!$A$5:$A$86,0))),""))</x:f>
      </x:c>
      <x:c r="M262" s="176" t="str">
        <x:f>IF(OR($B262="",$L262=""),"",IFERROR(IF(INDEX(Obras!$H$5:$H$19,MATCH($B262,Obras!$A$5:$A$19,0))="","",IF(INDEX(Obras!$H$5:$H$19,MATCH($B262,Obras!$A$5:$A$19,0))&gt;$L262,"VENCIDA",IF($L262-INDEX(Obras!$H$5:$H$19,MATCH($B262,Obras!$A$5:$A$19,0))&lt;=0.5,"VENCE EM ATÉ 6 MESES","VIGENTE"))),""))</x:f>
      </x:c>
      <x:c r="N262" s="268"/>
    </x:row>
    <x:row r="263" ht="30" customHeight="1">
      <x:c r="A263" s="176" t="str">
        <x:f>IF(OR($B263="",$C263=""),"","LC-"&amp;TEXT(259,"0000"))</x:f>
      </x:c>
      <x:c r="B263" s="259"/>
      <x:c r="C263" s="259"/>
      <x:c r="D263" s="271" t="str">
        <x:f>IF($B263="","",IFERROR(IF(INDEX(Obras!$G$5:$G$19,MATCH($B263,Obras!$A$5:$A$19,0))="","",INDEX(Obras!$G$5:$G$19,MATCH($B263,Obras!$A$5:$A$19,0))),""))</x:f>
      </x:c>
      <x:c r="E263" s="259"/>
      <x:c r="F263" s="268"/>
      <x:c r="G263" s="259"/>
      <x:c r="H263" s="259"/>
      <x:c r="I263" s="259"/>
      <x:c r="J263" s="181" t="str">
        <x:f t="shared" si="8"/>
      </x:c>
      <x:c r="K263" s="176" t="str">
        <x:f t="shared" si="9"/>
      </x:c>
      <x:c r="L263" s="181" t="str">
        <x:f>IF($C263="","",IFERROR(IF(INDEX(Catalogo!$H$5:$H$86,MATCH($C263,Catalogo!$A$5:$A$86,0))="","",INDEX(Catalogo!$H$5:$H$86,MATCH($C263,Catalogo!$A$5:$A$86,0))),""))</x:f>
      </x:c>
      <x:c r="M263" s="176" t="str">
        <x:f>IF(OR($B263="",$L263=""),"",IFERROR(IF(INDEX(Obras!$H$5:$H$19,MATCH($B263,Obras!$A$5:$A$19,0))="","",IF(INDEX(Obras!$H$5:$H$19,MATCH($B263,Obras!$A$5:$A$19,0))&gt;$L263,"VENCIDA",IF($L263-INDEX(Obras!$H$5:$H$19,MATCH($B263,Obras!$A$5:$A$19,0))&lt;=0.5,"VENCE EM ATÉ 6 MESES","VIGENTE"))),""))</x:f>
      </x:c>
      <x:c r="N263" s="268"/>
    </x:row>
    <x:row r="264" ht="30" customHeight="1">
      <x:c r="A264" s="176" t="str">
        <x:f>IF(OR($B264="",$C264=""),"","LC-"&amp;TEXT(260,"0000"))</x:f>
      </x:c>
      <x:c r="B264" s="259"/>
      <x:c r="C264" s="259"/>
      <x:c r="D264" s="271" t="str">
        <x:f>IF($B264="","",IFERROR(IF(INDEX(Obras!$G$5:$G$19,MATCH($B264,Obras!$A$5:$A$19,0))="","",INDEX(Obras!$G$5:$G$19,MATCH($B264,Obras!$A$5:$A$19,0))),""))</x:f>
      </x:c>
      <x:c r="E264" s="259"/>
      <x:c r="F264" s="268"/>
      <x:c r="G264" s="259"/>
      <x:c r="H264" s="259"/>
      <x:c r="I264" s="259"/>
      <x:c r="J264" s="181" t="str">
        <x:f t="shared" si="8"/>
      </x:c>
      <x:c r="K264" s="176" t="str">
        <x:f t="shared" si="9"/>
      </x:c>
      <x:c r="L264" s="181" t="str">
        <x:f>IF($C264="","",IFERROR(IF(INDEX(Catalogo!$H$5:$H$86,MATCH($C264,Catalogo!$A$5:$A$86,0))="","",INDEX(Catalogo!$H$5:$H$86,MATCH($C264,Catalogo!$A$5:$A$86,0))),""))</x:f>
      </x:c>
      <x:c r="M264" s="176" t="str">
        <x:f>IF(OR($B264="",$L264=""),"",IFERROR(IF(INDEX(Obras!$H$5:$H$19,MATCH($B264,Obras!$A$5:$A$19,0))="","",IF(INDEX(Obras!$H$5:$H$19,MATCH($B264,Obras!$A$5:$A$19,0))&gt;$L264,"VENCIDA",IF($L264-INDEX(Obras!$H$5:$H$19,MATCH($B264,Obras!$A$5:$A$19,0))&lt;=0.5,"VENCE EM ATÉ 6 MESES","VIGENTE"))),""))</x:f>
      </x:c>
      <x:c r="N264" s="268"/>
    </x:row>
    <x:row r="265" ht="30" customHeight="1">
      <x:c r="A265" s="176" t="str">
        <x:f>IF(OR($B265="",$C265=""),"","LC-"&amp;TEXT(261,"0000"))</x:f>
      </x:c>
      <x:c r="B265" s="259"/>
      <x:c r="C265" s="259"/>
      <x:c r="D265" s="271" t="str">
        <x:f>IF($B265="","",IFERROR(IF(INDEX(Obras!$G$5:$G$19,MATCH($B265,Obras!$A$5:$A$19,0))="","",INDEX(Obras!$G$5:$G$19,MATCH($B265,Obras!$A$5:$A$19,0))),""))</x:f>
      </x:c>
      <x:c r="E265" s="259"/>
      <x:c r="F265" s="268"/>
      <x:c r="G265" s="259"/>
      <x:c r="H265" s="259"/>
      <x:c r="I265" s="259"/>
      <x:c r="J265" s="181" t="str">
        <x:f t="shared" si="8"/>
      </x:c>
      <x:c r="K265" s="176" t="str">
        <x:f t="shared" si="9"/>
      </x:c>
      <x:c r="L265" s="181" t="str">
        <x:f>IF($C265="","",IFERROR(IF(INDEX(Catalogo!$H$5:$H$86,MATCH($C265,Catalogo!$A$5:$A$86,0))="","",INDEX(Catalogo!$H$5:$H$86,MATCH($C265,Catalogo!$A$5:$A$86,0))),""))</x:f>
      </x:c>
      <x:c r="M265" s="176" t="str">
        <x:f>IF(OR($B265="",$L265=""),"",IFERROR(IF(INDEX(Obras!$H$5:$H$19,MATCH($B265,Obras!$A$5:$A$19,0))="","",IF(INDEX(Obras!$H$5:$H$19,MATCH($B265,Obras!$A$5:$A$19,0))&gt;$L265,"VENCIDA",IF($L265-INDEX(Obras!$H$5:$H$19,MATCH($B265,Obras!$A$5:$A$19,0))&lt;=0.5,"VENCE EM ATÉ 6 MESES","VIGENTE"))),""))</x:f>
      </x:c>
      <x:c r="N265" s="268"/>
    </x:row>
    <x:row r="266" ht="30" customHeight="1">
      <x:c r="A266" s="176" t="str">
        <x:f>IF(OR($B266="",$C266=""),"","LC-"&amp;TEXT(262,"0000"))</x:f>
      </x:c>
      <x:c r="B266" s="259"/>
      <x:c r="C266" s="259"/>
      <x:c r="D266" s="271" t="str">
        <x:f>IF($B266="","",IFERROR(IF(INDEX(Obras!$G$5:$G$19,MATCH($B266,Obras!$A$5:$A$19,0))="","",INDEX(Obras!$G$5:$G$19,MATCH($B266,Obras!$A$5:$A$19,0))),""))</x:f>
      </x:c>
      <x:c r="E266" s="259"/>
      <x:c r="F266" s="268"/>
      <x:c r="G266" s="259"/>
      <x:c r="H266" s="259"/>
      <x:c r="I266" s="259"/>
      <x:c r="J266" s="181" t="str">
        <x:f t="shared" si="8"/>
      </x:c>
      <x:c r="K266" s="176" t="str">
        <x:f t="shared" si="9"/>
      </x:c>
      <x:c r="L266" s="181" t="str">
        <x:f>IF($C266="","",IFERROR(IF(INDEX(Catalogo!$H$5:$H$86,MATCH($C266,Catalogo!$A$5:$A$86,0))="","",INDEX(Catalogo!$H$5:$H$86,MATCH($C266,Catalogo!$A$5:$A$86,0))),""))</x:f>
      </x:c>
      <x:c r="M266" s="176" t="str">
        <x:f>IF(OR($B266="",$L266=""),"",IFERROR(IF(INDEX(Obras!$H$5:$H$19,MATCH($B266,Obras!$A$5:$A$19,0))="","",IF(INDEX(Obras!$H$5:$H$19,MATCH($B266,Obras!$A$5:$A$19,0))&gt;$L266,"VENCIDA",IF($L266-INDEX(Obras!$H$5:$H$19,MATCH($B266,Obras!$A$5:$A$19,0))&lt;=0.5,"VENCE EM ATÉ 6 MESES","VIGENTE"))),""))</x:f>
      </x:c>
      <x:c r="N266" s="268"/>
    </x:row>
    <x:row r="267" ht="30" customHeight="1">
      <x:c r="A267" s="176" t="str">
        <x:f>IF(OR($B267="",$C267=""),"","LC-"&amp;TEXT(263,"0000"))</x:f>
      </x:c>
      <x:c r="B267" s="259"/>
      <x:c r="C267" s="259"/>
      <x:c r="D267" s="271" t="str">
        <x:f>IF($B267="","",IFERROR(IF(INDEX(Obras!$G$5:$G$19,MATCH($B267,Obras!$A$5:$A$19,0))="","",INDEX(Obras!$G$5:$G$19,MATCH($B267,Obras!$A$5:$A$19,0))),""))</x:f>
      </x:c>
      <x:c r="E267" s="259"/>
      <x:c r="F267" s="268"/>
      <x:c r="G267" s="259"/>
      <x:c r="H267" s="259"/>
      <x:c r="I267" s="259"/>
      <x:c r="J267" s="181" t="str">
        <x:f t="shared" si="8"/>
      </x:c>
      <x:c r="K267" s="176" t="str">
        <x:f t="shared" si="9"/>
      </x:c>
      <x:c r="L267" s="181" t="str">
        <x:f>IF($C267="","",IFERROR(IF(INDEX(Catalogo!$H$5:$H$86,MATCH($C267,Catalogo!$A$5:$A$86,0))="","",INDEX(Catalogo!$H$5:$H$86,MATCH($C267,Catalogo!$A$5:$A$86,0))),""))</x:f>
      </x:c>
      <x:c r="M267" s="176" t="str">
        <x:f>IF(OR($B267="",$L267=""),"",IFERROR(IF(INDEX(Obras!$H$5:$H$19,MATCH($B267,Obras!$A$5:$A$19,0))="","",IF(INDEX(Obras!$H$5:$H$19,MATCH($B267,Obras!$A$5:$A$19,0))&gt;$L267,"VENCIDA",IF($L267-INDEX(Obras!$H$5:$H$19,MATCH($B267,Obras!$A$5:$A$19,0))&lt;=0.5,"VENCE EM ATÉ 6 MESES","VIGENTE"))),""))</x:f>
      </x:c>
      <x:c r="N267" s="268"/>
    </x:row>
    <x:row r="268" ht="30" customHeight="1">
      <x:c r="A268" s="176" t="str">
        <x:f>IF(OR($B268="",$C268=""),"","LC-"&amp;TEXT(264,"0000"))</x:f>
      </x:c>
      <x:c r="B268" s="259"/>
      <x:c r="C268" s="259"/>
      <x:c r="D268" s="271" t="str">
        <x:f>IF($B268="","",IFERROR(IF(INDEX(Obras!$G$5:$G$19,MATCH($B268,Obras!$A$5:$A$19,0))="","",INDEX(Obras!$G$5:$G$19,MATCH($B268,Obras!$A$5:$A$19,0))),""))</x:f>
      </x:c>
      <x:c r="E268" s="259"/>
      <x:c r="F268" s="268"/>
      <x:c r="G268" s="259"/>
      <x:c r="H268" s="259"/>
      <x:c r="I268" s="259"/>
      <x:c r="J268" s="181" t="str">
        <x:f t="shared" si="8"/>
      </x:c>
      <x:c r="K268" s="176" t="str">
        <x:f t="shared" si="9"/>
      </x:c>
      <x:c r="L268" s="181" t="str">
        <x:f>IF($C268="","",IFERROR(IF(INDEX(Catalogo!$H$5:$H$86,MATCH($C268,Catalogo!$A$5:$A$86,0))="","",INDEX(Catalogo!$H$5:$H$86,MATCH($C268,Catalogo!$A$5:$A$86,0))),""))</x:f>
      </x:c>
      <x:c r="M268" s="176" t="str">
        <x:f>IF(OR($B268="",$L268=""),"",IFERROR(IF(INDEX(Obras!$H$5:$H$19,MATCH($B268,Obras!$A$5:$A$19,0))="","",IF(INDEX(Obras!$H$5:$H$19,MATCH($B268,Obras!$A$5:$A$19,0))&gt;$L268,"VENCIDA",IF($L268-INDEX(Obras!$H$5:$H$19,MATCH($B268,Obras!$A$5:$A$19,0))&lt;=0.5,"VENCE EM ATÉ 6 MESES","VIGENTE"))),""))</x:f>
      </x:c>
      <x:c r="N268" s="268"/>
    </x:row>
    <x:row r="269" ht="30" customHeight="1">
      <x:c r="A269" s="176" t="str">
        <x:f>IF(OR($B269="",$C269=""),"","LC-"&amp;TEXT(265,"0000"))</x:f>
      </x:c>
      <x:c r="B269" s="259"/>
      <x:c r="C269" s="259"/>
      <x:c r="D269" s="271" t="str">
        <x:f>IF($B269="","",IFERROR(IF(INDEX(Obras!$G$5:$G$19,MATCH($B269,Obras!$A$5:$A$19,0))="","",INDEX(Obras!$G$5:$G$19,MATCH($B269,Obras!$A$5:$A$19,0))),""))</x:f>
      </x:c>
      <x:c r="E269" s="259"/>
      <x:c r="F269" s="268"/>
      <x:c r="G269" s="259"/>
      <x:c r="H269" s="259"/>
      <x:c r="I269" s="259"/>
      <x:c r="J269" s="181" t="str">
        <x:f t="shared" si="8"/>
      </x:c>
      <x:c r="K269" s="176" t="str">
        <x:f t="shared" si="9"/>
      </x:c>
      <x:c r="L269" s="181" t="str">
        <x:f>IF($C269="","",IFERROR(IF(INDEX(Catalogo!$H$5:$H$86,MATCH($C269,Catalogo!$A$5:$A$86,0))="","",INDEX(Catalogo!$H$5:$H$86,MATCH($C269,Catalogo!$A$5:$A$86,0))),""))</x:f>
      </x:c>
      <x:c r="M269" s="176" t="str">
        <x:f>IF(OR($B269="",$L269=""),"",IFERROR(IF(INDEX(Obras!$H$5:$H$19,MATCH($B269,Obras!$A$5:$A$19,0))="","",IF(INDEX(Obras!$H$5:$H$19,MATCH($B269,Obras!$A$5:$A$19,0))&gt;$L269,"VENCIDA",IF($L269-INDEX(Obras!$H$5:$H$19,MATCH($B269,Obras!$A$5:$A$19,0))&lt;=0.5,"VENCE EM ATÉ 6 MESES","VIGENTE"))),""))</x:f>
      </x:c>
      <x:c r="N269" s="268"/>
    </x:row>
    <x:row r="270" ht="30" customHeight="1">
      <x:c r="A270" s="176" t="str">
        <x:f>IF(OR($B270="",$C270=""),"","LC-"&amp;TEXT(266,"0000"))</x:f>
      </x:c>
      <x:c r="B270" s="259"/>
      <x:c r="C270" s="259"/>
      <x:c r="D270" s="271" t="str">
        <x:f>IF($B270="","",IFERROR(IF(INDEX(Obras!$G$5:$G$19,MATCH($B270,Obras!$A$5:$A$19,0))="","",INDEX(Obras!$G$5:$G$19,MATCH($B270,Obras!$A$5:$A$19,0))),""))</x:f>
      </x:c>
      <x:c r="E270" s="259"/>
      <x:c r="F270" s="268"/>
      <x:c r="G270" s="259"/>
      <x:c r="H270" s="259"/>
      <x:c r="I270" s="259"/>
      <x:c r="J270" s="181" t="str">
        <x:f t="shared" si="8"/>
      </x:c>
      <x:c r="K270" s="176" t="str">
        <x:f t="shared" si="9"/>
      </x:c>
      <x:c r="L270" s="181" t="str">
        <x:f>IF($C270="","",IFERROR(IF(INDEX(Catalogo!$H$5:$H$86,MATCH($C270,Catalogo!$A$5:$A$86,0))="","",INDEX(Catalogo!$H$5:$H$86,MATCH($C270,Catalogo!$A$5:$A$86,0))),""))</x:f>
      </x:c>
      <x:c r="M270" s="176" t="str">
        <x:f>IF(OR($B270="",$L270=""),"",IFERROR(IF(INDEX(Obras!$H$5:$H$19,MATCH($B270,Obras!$A$5:$A$19,0))="","",IF(INDEX(Obras!$H$5:$H$19,MATCH($B270,Obras!$A$5:$A$19,0))&gt;$L270,"VENCIDA",IF($L270-INDEX(Obras!$H$5:$H$19,MATCH($B270,Obras!$A$5:$A$19,0))&lt;=0.5,"VENCE EM ATÉ 6 MESES","VIGENTE"))),""))</x:f>
      </x:c>
      <x:c r="N270" s="268"/>
    </x:row>
    <x:row r="271" ht="30" customHeight="1">
      <x:c r="A271" s="176" t="str">
        <x:f>IF(OR($B271="",$C271=""),"","LC-"&amp;TEXT(267,"0000"))</x:f>
      </x:c>
      <x:c r="B271" s="259"/>
      <x:c r="C271" s="259"/>
      <x:c r="D271" s="271" t="str">
        <x:f>IF($B271="","",IFERROR(IF(INDEX(Obras!$G$5:$G$19,MATCH($B271,Obras!$A$5:$A$19,0))="","",INDEX(Obras!$G$5:$G$19,MATCH($B271,Obras!$A$5:$A$19,0))),""))</x:f>
      </x:c>
      <x:c r="E271" s="259"/>
      <x:c r="F271" s="268"/>
      <x:c r="G271" s="259"/>
      <x:c r="H271" s="259"/>
      <x:c r="I271" s="259"/>
      <x:c r="J271" s="181" t="str">
        <x:f t="shared" si="8"/>
      </x:c>
      <x:c r="K271" s="176" t="str">
        <x:f t="shared" si="9"/>
      </x:c>
      <x:c r="L271" s="181" t="str">
        <x:f>IF($C271="","",IFERROR(IF(INDEX(Catalogo!$H$5:$H$86,MATCH($C271,Catalogo!$A$5:$A$86,0))="","",INDEX(Catalogo!$H$5:$H$86,MATCH($C271,Catalogo!$A$5:$A$86,0))),""))</x:f>
      </x:c>
      <x:c r="M271" s="176" t="str">
        <x:f>IF(OR($B271="",$L271=""),"",IFERROR(IF(INDEX(Obras!$H$5:$H$19,MATCH($B271,Obras!$A$5:$A$19,0))="","",IF(INDEX(Obras!$H$5:$H$19,MATCH($B271,Obras!$A$5:$A$19,0))&gt;$L271,"VENCIDA",IF($L271-INDEX(Obras!$H$5:$H$19,MATCH($B271,Obras!$A$5:$A$19,0))&lt;=0.5,"VENCE EM ATÉ 6 MESES","VIGENTE"))),""))</x:f>
      </x:c>
      <x:c r="N271" s="268"/>
    </x:row>
    <x:row r="272" ht="30" customHeight="1">
      <x:c r="A272" s="176" t="str">
        <x:f>IF(OR($B272="",$C272=""),"","LC-"&amp;TEXT(268,"0000"))</x:f>
      </x:c>
      <x:c r="B272" s="259"/>
      <x:c r="C272" s="259"/>
      <x:c r="D272" s="271" t="str">
        <x:f>IF($B272="","",IFERROR(IF(INDEX(Obras!$G$5:$G$19,MATCH($B272,Obras!$A$5:$A$19,0))="","",INDEX(Obras!$G$5:$G$19,MATCH($B272,Obras!$A$5:$A$19,0))),""))</x:f>
      </x:c>
      <x:c r="E272" s="259"/>
      <x:c r="F272" s="268"/>
      <x:c r="G272" s="259"/>
      <x:c r="H272" s="259"/>
      <x:c r="I272" s="259"/>
      <x:c r="J272" s="181" t="str">
        <x:f t="shared" si="8"/>
      </x:c>
      <x:c r="K272" s="176" t="str">
        <x:f t="shared" si="9"/>
      </x:c>
      <x:c r="L272" s="181" t="str">
        <x:f>IF($C272="","",IFERROR(IF(INDEX(Catalogo!$H$5:$H$86,MATCH($C272,Catalogo!$A$5:$A$86,0))="","",INDEX(Catalogo!$H$5:$H$86,MATCH($C272,Catalogo!$A$5:$A$86,0))),""))</x:f>
      </x:c>
      <x:c r="M272" s="176" t="str">
        <x:f>IF(OR($B272="",$L272=""),"",IFERROR(IF(INDEX(Obras!$H$5:$H$19,MATCH($B272,Obras!$A$5:$A$19,0))="","",IF(INDEX(Obras!$H$5:$H$19,MATCH($B272,Obras!$A$5:$A$19,0))&gt;$L272,"VENCIDA",IF($L272-INDEX(Obras!$H$5:$H$19,MATCH($B272,Obras!$A$5:$A$19,0))&lt;=0.5,"VENCE EM ATÉ 6 MESES","VIGENTE"))),""))</x:f>
      </x:c>
      <x:c r="N272" s="268"/>
    </x:row>
    <x:row r="273" ht="30" customHeight="1">
      <x:c r="A273" s="176" t="str">
        <x:f>IF(OR($B273="",$C273=""),"","LC-"&amp;TEXT(269,"0000"))</x:f>
      </x:c>
      <x:c r="B273" s="259"/>
      <x:c r="C273" s="259"/>
      <x:c r="D273" s="271" t="str">
        <x:f>IF($B273="","",IFERROR(IF(INDEX(Obras!$G$5:$G$19,MATCH($B273,Obras!$A$5:$A$19,0))="","",INDEX(Obras!$G$5:$G$19,MATCH($B273,Obras!$A$5:$A$19,0))),""))</x:f>
      </x:c>
      <x:c r="E273" s="259"/>
      <x:c r="F273" s="268"/>
      <x:c r="G273" s="259"/>
      <x:c r="H273" s="259"/>
      <x:c r="I273" s="259"/>
      <x:c r="J273" s="181" t="str">
        <x:f t="shared" si="8"/>
      </x:c>
      <x:c r="K273" s="176" t="str">
        <x:f t="shared" si="9"/>
      </x:c>
      <x:c r="L273" s="181" t="str">
        <x:f>IF($C273="","",IFERROR(IF(INDEX(Catalogo!$H$5:$H$86,MATCH($C273,Catalogo!$A$5:$A$86,0))="","",INDEX(Catalogo!$H$5:$H$86,MATCH($C273,Catalogo!$A$5:$A$86,0))),""))</x:f>
      </x:c>
      <x:c r="M273" s="176" t="str">
        <x:f>IF(OR($B273="",$L273=""),"",IFERROR(IF(INDEX(Obras!$H$5:$H$19,MATCH($B273,Obras!$A$5:$A$19,0))="","",IF(INDEX(Obras!$H$5:$H$19,MATCH($B273,Obras!$A$5:$A$19,0))&gt;$L273,"VENCIDA",IF($L273-INDEX(Obras!$H$5:$H$19,MATCH($B273,Obras!$A$5:$A$19,0))&lt;=0.5,"VENCE EM ATÉ 6 MESES","VIGENTE"))),""))</x:f>
      </x:c>
      <x:c r="N273" s="268"/>
    </x:row>
    <x:row r="274" ht="30" customHeight="1">
      <x:c r="A274" s="176" t="str">
        <x:f>IF(OR($B274="",$C274=""),"","LC-"&amp;TEXT(270,"0000"))</x:f>
      </x:c>
      <x:c r="B274" s="259"/>
      <x:c r="C274" s="259"/>
      <x:c r="D274" s="271" t="str">
        <x:f>IF($B274="","",IFERROR(IF(INDEX(Obras!$G$5:$G$19,MATCH($B274,Obras!$A$5:$A$19,0))="","",INDEX(Obras!$G$5:$G$19,MATCH($B274,Obras!$A$5:$A$19,0))),""))</x:f>
      </x:c>
      <x:c r="E274" s="259"/>
      <x:c r="F274" s="268"/>
      <x:c r="G274" s="259"/>
      <x:c r="H274" s="259"/>
      <x:c r="I274" s="259"/>
      <x:c r="J274" s="181" t="str">
        <x:f t="shared" si="8"/>
      </x:c>
      <x:c r="K274" s="176" t="str">
        <x:f t="shared" si="9"/>
      </x:c>
      <x:c r="L274" s="181" t="str">
        <x:f>IF($C274="","",IFERROR(IF(INDEX(Catalogo!$H$5:$H$86,MATCH($C274,Catalogo!$A$5:$A$86,0))="","",INDEX(Catalogo!$H$5:$H$86,MATCH($C274,Catalogo!$A$5:$A$86,0))),""))</x:f>
      </x:c>
      <x:c r="M274" s="176" t="str">
        <x:f>IF(OR($B274="",$L274=""),"",IFERROR(IF(INDEX(Obras!$H$5:$H$19,MATCH($B274,Obras!$A$5:$A$19,0))="","",IF(INDEX(Obras!$H$5:$H$19,MATCH($B274,Obras!$A$5:$A$19,0))&gt;$L274,"VENCIDA",IF($L274-INDEX(Obras!$H$5:$H$19,MATCH($B274,Obras!$A$5:$A$19,0))&lt;=0.5,"VENCE EM ATÉ 6 MESES","VIGENTE"))),""))</x:f>
      </x:c>
      <x:c r="N274" s="268"/>
    </x:row>
    <x:row r="275" ht="30" customHeight="1">
      <x:c r="A275" s="176" t="str">
        <x:f>IF(OR($B275="",$C275=""),"","LC-"&amp;TEXT(271,"0000"))</x:f>
      </x:c>
      <x:c r="B275" s="259"/>
      <x:c r="C275" s="259"/>
      <x:c r="D275" s="271" t="str">
        <x:f>IF($B275="","",IFERROR(IF(INDEX(Obras!$G$5:$G$19,MATCH($B275,Obras!$A$5:$A$19,0))="","",INDEX(Obras!$G$5:$G$19,MATCH($B275,Obras!$A$5:$A$19,0))),""))</x:f>
      </x:c>
      <x:c r="E275" s="259"/>
      <x:c r="F275" s="268"/>
      <x:c r="G275" s="259"/>
      <x:c r="H275" s="259"/>
      <x:c r="I275" s="259"/>
      <x:c r="J275" s="181" t="str">
        <x:f t="shared" si="8"/>
      </x:c>
      <x:c r="K275" s="176" t="str">
        <x:f t="shared" si="9"/>
      </x:c>
      <x:c r="L275" s="181" t="str">
        <x:f>IF($C275="","",IFERROR(IF(INDEX(Catalogo!$H$5:$H$86,MATCH($C275,Catalogo!$A$5:$A$86,0))="","",INDEX(Catalogo!$H$5:$H$86,MATCH($C275,Catalogo!$A$5:$A$86,0))),""))</x:f>
      </x:c>
      <x:c r="M275" s="176" t="str">
        <x:f>IF(OR($B275="",$L275=""),"",IFERROR(IF(INDEX(Obras!$H$5:$H$19,MATCH($B275,Obras!$A$5:$A$19,0))="","",IF(INDEX(Obras!$H$5:$H$19,MATCH($B275,Obras!$A$5:$A$19,0))&gt;$L275,"VENCIDA",IF($L275-INDEX(Obras!$H$5:$H$19,MATCH($B275,Obras!$A$5:$A$19,0))&lt;=0.5,"VENCE EM ATÉ 6 MESES","VIGENTE"))),""))</x:f>
      </x:c>
      <x:c r="N275" s="268"/>
    </x:row>
    <x:row r="276" ht="30" customHeight="1">
      <x:c r="A276" s="176" t="str">
        <x:f>IF(OR($B276="",$C276=""),"","LC-"&amp;TEXT(272,"0000"))</x:f>
      </x:c>
      <x:c r="B276" s="259"/>
      <x:c r="C276" s="259"/>
      <x:c r="D276" s="271" t="str">
        <x:f>IF($B276="","",IFERROR(IF(INDEX(Obras!$G$5:$G$19,MATCH($B276,Obras!$A$5:$A$19,0))="","",INDEX(Obras!$G$5:$G$19,MATCH($B276,Obras!$A$5:$A$19,0))),""))</x:f>
      </x:c>
      <x:c r="E276" s="259"/>
      <x:c r="F276" s="268"/>
      <x:c r="G276" s="259"/>
      <x:c r="H276" s="259"/>
      <x:c r="I276" s="259"/>
      <x:c r="J276" s="181" t="str">
        <x:f t="shared" si="8"/>
      </x:c>
      <x:c r="K276" s="176" t="str">
        <x:f t="shared" si="9"/>
      </x:c>
      <x:c r="L276" s="181" t="str">
        <x:f>IF($C276="","",IFERROR(IF(INDEX(Catalogo!$H$5:$H$86,MATCH($C276,Catalogo!$A$5:$A$86,0))="","",INDEX(Catalogo!$H$5:$H$86,MATCH($C276,Catalogo!$A$5:$A$86,0))),""))</x:f>
      </x:c>
      <x:c r="M276" s="176" t="str">
        <x:f>IF(OR($B276="",$L276=""),"",IFERROR(IF(INDEX(Obras!$H$5:$H$19,MATCH($B276,Obras!$A$5:$A$19,0))="","",IF(INDEX(Obras!$H$5:$H$19,MATCH($B276,Obras!$A$5:$A$19,0))&gt;$L276,"VENCIDA",IF($L276-INDEX(Obras!$H$5:$H$19,MATCH($B276,Obras!$A$5:$A$19,0))&lt;=0.5,"VENCE EM ATÉ 6 MESES","VIGENTE"))),""))</x:f>
      </x:c>
      <x:c r="N276" s="268"/>
    </x:row>
    <x:row r="277" ht="30" customHeight="1">
      <x:c r="A277" s="176" t="str">
        <x:f>IF(OR($B277="",$C277=""),"","LC-"&amp;TEXT(273,"0000"))</x:f>
      </x:c>
      <x:c r="B277" s="259"/>
      <x:c r="C277" s="259"/>
      <x:c r="D277" s="271" t="str">
        <x:f>IF($B277="","",IFERROR(IF(INDEX(Obras!$G$5:$G$19,MATCH($B277,Obras!$A$5:$A$19,0))="","",INDEX(Obras!$G$5:$G$19,MATCH($B277,Obras!$A$5:$A$19,0))),""))</x:f>
      </x:c>
      <x:c r="E277" s="259"/>
      <x:c r="F277" s="268"/>
      <x:c r="G277" s="259"/>
      <x:c r="H277" s="259"/>
      <x:c r="I277" s="259"/>
      <x:c r="J277" s="181" t="str">
        <x:f t="shared" si="8"/>
      </x:c>
      <x:c r="K277" s="176" t="str">
        <x:f t="shared" si="9"/>
      </x:c>
      <x:c r="L277" s="181" t="str">
        <x:f>IF($C277="","",IFERROR(IF(INDEX(Catalogo!$H$5:$H$86,MATCH($C277,Catalogo!$A$5:$A$86,0))="","",INDEX(Catalogo!$H$5:$H$86,MATCH($C277,Catalogo!$A$5:$A$86,0))),""))</x:f>
      </x:c>
      <x:c r="M277" s="176" t="str">
        <x:f>IF(OR($B277="",$L277=""),"",IFERROR(IF(INDEX(Obras!$H$5:$H$19,MATCH($B277,Obras!$A$5:$A$19,0))="","",IF(INDEX(Obras!$H$5:$H$19,MATCH($B277,Obras!$A$5:$A$19,0))&gt;$L277,"VENCIDA",IF($L277-INDEX(Obras!$H$5:$H$19,MATCH($B277,Obras!$A$5:$A$19,0))&lt;=0.5,"VENCE EM ATÉ 6 MESES","VIGENTE"))),""))</x:f>
      </x:c>
      <x:c r="N277" s="268"/>
    </x:row>
    <x:row r="278" ht="30" customHeight="1">
      <x:c r="A278" s="176" t="str">
        <x:f>IF(OR($B278="",$C278=""),"","LC-"&amp;TEXT(274,"0000"))</x:f>
      </x:c>
      <x:c r="B278" s="259"/>
      <x:c r="C278" s="259"/>
      <x:c r="D278" s="271" t="str">
        <x:f>IF($B278="","",IFERROR(IF(INDEX(Obras!$G$5:$G$19,MATCH($B278,Obras!$A$5:$A$19,0))="","",INDEX(Obras!$G$5:$G$19,MATCH($B278,Obras!$A$5:$A$19,0))),""))</x:f>
      </x:c>
      <x:c r="E278" s="259"/>
      <x:c r="F278" s="268"/>
      <x:c r="G278" s="259"/>
      <x:c r="H278" s="259"/>
      <x:c r="I278" s="259"/>
      <x:c r="J278" s="181" t="str">
        <x:f t="shared" si="8"/>
      </x:c>
      <x:c r="K278" s="176" t="str">
        <x:f t="shared" si="9"/>
      </x:c>
      <x:c r="L278" s="181" t="str">
        <x:f>IF($C278="","",IFERROR(IF(INDEX(Catalogo!$H$5:$H$86,MATCH($C278,Catalogo!$A$5:$A$86,0))="","",INDEX(Catalogo!$H$5:$H$86,MATCH($C278,Catalogo!$A$5:$A$86,0))),""))</x:f>
      </x:c>
      <x:c r="M278" s="176" t="str">
        <x:f>IF(OR($B278="",$L278=""),"",IFERROR(IF(INDEX(Obras!$H$5:$H$19,MATCH($B278,Obras!$A$5:$A$19,0))="","",IF(INDEX(Obras!$H$5:$H$19,MATCH($B278,Obras!$A$5:$A$19,0))&gt;$L278,"VENCIDA",IF($L278-INDEX(Obras!$H$5:$H$19,MATCH($B278,Obras!$A$5:$A$19,0))&lt;=0.5,"VENCE EM ATÉ 6 MESES","VIGENTE"))),""))</x:f>
      </x:c>
      <x:c r="N278" s="268"/>
    </x:row>
    <x:row r="279" ht="30" customHeight="1">
      <x:c r="A279" s="176" t="str">
        <x:f>IF(OR($B279="",$C279=""),"","LC-"&amp;TEXT(275,"0000"))</x:f>
      </x:c>
      <x:c r="B279" s="259"/>
      <x:c r="C279" s="259"/>
      <x:c r="D279" s="271" t="str">
        <x:f>IF($B279="","",IFERROR(IF(INDEX(Obras!$G$5:$G$19,MATCH($B279,Obras!$A$5:$A$19,0))="","",INDEX(Obras!$G$5:$G$19,MATCH($B279,Obras!$A$5:$A$19,0))),""))</x:f>
      </x:c>
      <x:c r="E279" s="259"/>
      <x:c r="F279" s="268"/>
      <x:c r="G279" s="259"/>
      <x:c r="H279" s="259"/>
      <x:c r="I279" s="259"/>
      <x:c r="J279" s="181" t="str">
        <x:f t="shared" si="8"/>
      </x:c>
      <x:c r="K279" s="176" t="str">
        <x:f t="shared" si="9"/>
      </x:c>
      <x:c r="L279" s="181" t="str">
        <x:f>IF($C279="","",IFERROR(IF(INDEX(Catalogo!$H$5:$H$86,MATCH($C279,Catalogo!$A$5:$A$86,0))="","",INDEX(Catalogo!$H$5:$H$86,MATCH($C279,Catalogo!$A$5:$A$86,0))),""))</x:f>
      </x:c>
      <x:c r="M279" s="176" t="str">
        <x:f>IF(OR($B279="",$L279=""),"",IFERROR(IF(INDEX(Obras!$H$5:$H$19,MATCH($B279,Obras!$A$5:$A$19,0))="","",IF(INDEX(Obras!$H$5:$H$19,MATCH($B279,Obras!$A$5:$A$19,0))&gt;$L279,"VENCIDA",IF($L279-INDEX(Obras!$H$5:$H$19,MATCH($B279,Obras!$A$5:$A$19,0))&lt;=0.5,"VENCE EM ATÉ 6 MESES","VIGENTE"))),""))</x:f>
      </x:c>
      <x:c r="N279" s="268"/>
    </x:row>
    <x:row r="280" ht="30" customHeight="1">
      <x:c r="A280" s="176" t="str">
        <x:f>IF(OR($B280="",$C280=""),"","LC-"&amp;TEXT(276,"0000"))</x:f>
      </x:c>
      <x:c r="B280" s="259"/>
      <x:c r="C280" s="259"/>
      <x:c r="D280" s="271" t="str">
        <x:f>IF($B280="","",IFERROR(IF(INDEX(Obras!$G$5:$G$19,MATCH($B280,Obras!$A$5:$A$19,0))="","",INDEX(Obras!$G$5:$G$19,MATCH($B280,Obras!$A$5:$A$19,0))),""))</x:f>
      </x:c>
      <x:c r="E280" s="259"/>
      <x:c r="F280" s="268"/>
      <x:c r="G280" s="259"/>
      <x:c r="H280" s="259"/>
      <x:c r="I280" s="259"/>
      <x:c r="J280" s="181" t="str">
        <x:f t="shared" si="8"/>
      </x:c>
      <x:c r="K280" s="176" t="str">
        <x:f t="shared" si="9"/>
      </x:c>
      <x:c r="L280" s="181" t="str">
        <x:f>IF($C280="","",IFERROR(IF(INDEX(Catalogo!$H$5:$H$86,MATCH($C280,Catalogo!$A$5:$A$86,0))="","",INDEX(Catalogo!$H$5:$H$86,MATCH($C280,Catalogo!$A$5:$A$86,0))),""))</x:f>
      </x:c>
      <x:c r="M280" s="176" t="str">
        <x:f>IF(OR($B280="",$L280=""),"",IFERROR(IF(INDEX(Obras!$H$5:$H$19,MATCH($B280,Obras!$A$5:$A$19,0))="","",IF(INDEX(Obras!$H$5:$H$19,MATCH($B280,Obras!$A$5:$A$19,0))&gt;$L280,"VENCIDA",IF($L280-INDEX(Obras!$H$5:$H$19,MATCH($B280,Obras!$A$5:$A$19,0))&lt;=0.5,"VENCE EM ATÉ 6 MESES","VIGENTE"))),""))</x:f>
      </x:c>
      <x:c r="N280" s="268"/>
    </x:row>
    <x:row r="281" ht="30" customHeight="1">
      <x:c r="A281" s="176" t="str">
        <x:f>IF(OR($B281="",$C281=""),"","LC-"&amp;TEXT(277,"0000"))</x:f>
      </x:c>
      <x:c r="B281" s="259"/>
      <x:c r="C281" s="259"/>
      <x:c r="D281" s="271" t="str">
        <x:f>IF($B281="","",IFERROR(IF(INDEX(Obras!$G$5:$G$19,MATCH($B281,Obras!$A$5:$A$19,0))="","",INDEX(Obras!$G$5:$G$19,MATCH($B281,Obras!$A$5:$A$19,0))),""))</x:f>
      </x:c>
      <x:c r="E281" s="259"/>
      <x:c r="F281" s="268"/>
      <x:c r="G281" s="259"/>
      <x:c r="H281" s="259"/>
      <x:c r="I281" s="259"/>
      <x:c r="J281" s="181" t="str">
        <x:f t="shared" si="8"/>
      </x:c>
      <x:c r="K281" s="176" t="str">
        <x:f t="shared" si="9"/>
      </x:c>
      <x:c r="L281" s="181" t="str">
        <x:f>IF($C281="","",IFERROR(IF(INDEX(Catalogo!$H$5:$H$86,MATCH($C281,Catalogo!$A$5:$A$86,0))="","",INDEX(Catalogo!$H$5:$H$86,MATCH($C281,Catalogo!$A$5:$A$86,0))),""))</x:f>
      </x:c>
      <x:c r="M281" s="176" t="str">
        <x:f>IF(OR($B281="",$L281=""),"",IFERROR(IF(INDEX(Obras!$H$5:$H$19,MATCH($B281,Obras!$A$5:$A$19,0))="","",IF(INDEX(Obras!$H$5:$H$19,MATCH($B281,Obras!$A$5:$A$19,0))&gt;$L281,"VENCIDA",IF($L281-INDEX(Obras!$H$5:$H$19,MATCH($B281,Obras!$A$5:$A$19,0))&lt;=0.5,"VENCE EM ATÉ 6 MESES","VIGENTE"))),""))</x:f>
      </x:c>
      <x:c r="N281" s="268"/>
    </x:row>
    <x:row r="282" ht="30" customHeight="1">
      <x:c r="A282" s="176" t="str">
        <x:f>IF(OR($B282="",$C282=""),"","LC-"&amp;TEXT(278,"0000"))</x:f>
      </x:c>
      <x:c r="B282" s="259"/>
      <x:c r="C282" s="259"/>
      <x:c r="D282" s="271" t="str">
        <x:f>IF($B282="","",IFERROR(IF(INDEX(Obras!$G$5:$G$19,MATCH($B282,Obras!$A$5:$A$19,0))="","",INDEX(Obras!$G$5:$G$19,MATCH($B282,Obras!$A$5:$A$19,0))),""))</x:f>
      </x:c>
      <x:c r="E282" s="259"/>
      <x:c r="F282" s="268"/>
      <x:c r="G282" s="259"/>
      <x:c r="H282" s="259"/>
      <x:c r="I282" s="259"/>
      <x:c r="J282" s="181" t="str">
        <x:f t="shared" si="8"/>
      </x:c>
      <x:c r="K282" s="176" t="str">
        <x:f t="shared" si="9"/>
      </x:c>
      <x:c r="L282" s="181" t="str">
        <x:f>IF($C282="","",IFERROR(IF(INDEX(Catalogo!$H$5:$H$86,MATCH($C282,Catalogo!$A$5:$A$86,0))="","",INDEX(Catalogo!$H$5:$H$86,MATCH($C282,Catalogo!$A$5:$A$86,0))),""))</x:f>
      </x:c>
      <x:c r="M282" s="176" t="str">
        <x:f>IF(OR($B282="",$L282=""),"",IFERROR(IF(INDEX(Obras!$H$5:$H$19,MATCH($B282,Obras!$A$5:$A$19,0))="","",IF(INDEX(Obras!$H$5:$H$19,MATCH($B282,Obras!$A$5:$A$19,0))&gt;$L282,"VENCIDA",IF($L282-INDEX(Obras!$H$5:$H$19,MATCH($B282,Obras!$A$5:$A$19,0))&lt;=0.5,"VENCE EM ATÉ 6 MESES","VIGENTE"))),""))</x:f>
      </x:c>
      <x:c r="N282" s="268"/>
    </x:row>
    <x:row r="283" ht="30" customHeight="1">
      <x:c r="A283" s="176" t="str">
        <x:f>IF(OR($B283="",$C283=""),"","LC-"&amp;TEXT(279,"0000"))</x:f>
      </x:c>
      <x:c r="B283" s="259"/>
      <x:c r="C283" s="259"/>
      <x:c r="D283" s="271" t="str">
        <x:f>IF($B283="","",IFERROR(IF(INDEX(Obras!$G$5:$G$19,MATCH($B283,Obras!$A$5:$A$19,0))="","",INDEX(Obras!$G$5:$G$19,MATCH($B283,Obras!$A$5:$A$19,0))),""))</x:f>
      </x:c>
      <x:c r="E283" s="259"/>
      <x:c r="F283" s="268"/>
      <x:c r="G283" s="259"/>
      <x:c r="H283" s="259"/>
      <x:c r="I283" s="259"/>
      <x:c r="J283" s="181" t="str">
        <x:f t="shared" si="8"/>
      </x:c>
      <x:c r="K283" s="176" t="str">
        <x:f t="shared" si="9"/>
      </x:c>
      <x:c r="L283" s="181" t="str">
        <x:f>IF($C283="","",IFERROR(IF(INDEX(Catalogo!$H$5:$H$86,MATCH($C283,Catalogo!$A$5:$A$86,0))="","",INDEX(Catalogo!$H$5:$H$86,MATCH($C283,Catalogo!$A$5:$A$86,0))),""))</x:f>
      </x:c>
      <x:c r="M283" s="176" t="str">
        <x:f>IF(OR($B283="",$L283=""),"",IFERROR(IF(INDEX(Obras!$H$5:$H$19,MATCH($B283,Obras!$A$5:$A$19,0))="","",IF(INDEX(Obras!$H$5:$H$19,MATCH($B283,Obras!$A$5:$A$19,0))&gt;$L283,"VENCIDA",IF($L283-INDEX(Obras!$H$5:$H$19,MATCH($B283,Obras!$A$5:$A$19,0))&lt;=0.5,"VENCE EM ATÉ 6 MESES","VIGENTE"))),""))</x:f>
      </x:c>
      <x:c r="N283" s="268"/>
    </x:row>
    <x:row r="284" ht="30" customHeight="1">
      <x:c r="A284" s="176" t="str">
        <x:f>IF(OR($B284="",$C284=""),"","LC-"&amp;TEXT(280,"0000"))</x:f>
      </x:c>
      <x:c r="B284" s="259"/>
      <x:c r="C284" s="259"/>
      <x:c r="D284" s="271" t="str">
        <x:f>IF($B284="","",IFERROR(IF(INDEX(Obras!$G$5:$G$19,MATCH($B284,Obras!$A$5:$A$19,0))="","",INDEX(Obras!$G$5:$G$19,MATCH($B284,Obras!$A$5:$A$19,0))),""))</x:f>
      </x:c>
      <x:c r="E284" s="259"/>
      <x:c r="F284" s="268"/>
      <x:c r="G284" s="259"/>
      <x:c r="H284" s="259"/>
      <x:c r="I284" s="259"/>
      <x:c r="J284" s="181" t="str">
        <x:f t="shared" si="8"/>
      </x:c>
      <x:c r="K284" s="176" t="str">
        <x:f t="shared" si="9"/>
      </x:c>
      <x:c r="L284" s="181" t="str">
        <x:f>IF($C284="","",IFERROR(IF(INDEX(Catalogo!$H$5:$H$86,MATCH($C284,Catalogo!$A$5:$A$86,0))="","",INDEX(Catalogo!$H$5:$H$86,MATCH($C284,Catalogo!$A$5:$A$86,0))),""))</x:f>
      </x:c>
      <x:c r="M284" s="176" t="str">
        <x:f>IF(OR($B284="",$L284=""),"",IFERROR(IF(INDEX(Obras!$H$5:$H$19,MATCH($B284,Obras!$A$5:$A$19,0))="","",IF(INDEX(Obras!$H$5:$H$19,MATCH($B284,Obras!$A$5:$A$19,0))&gt;$L284,"VENCIDA",IF($L284-INDEX(Obras!$H$5:$H$19,MATCH($B284,Obras!$A$5:$A$19,0))&lt;=0.5,"VENCE EM ATÉ 6 MESES","VIGENTE"))),""))</x:f>
      </x:c>
      <x:c r="N284" s="268"/>
    </x:row>
    <x:row r="285" ht="30" customHeight="1">
      <x:c r="A285" s="176" t="str">
        <x:f>IF(OR($B285="",$C285=""),"","LC-"&amp;TEXT(281,"0000"))</x:f>
      </x:c>
      <x:c r="B285" s="259"/>
      <x:c r="C285" s="259"/>
      <x:c r="D285" s="271" t="str">
        <x:f>IF($B285="","",IFERROR(IF(INDEX(Obras!$G$5:$G$19,MATCH($B285,Obras!$A$5:$A$19,0))="","",INDEX(Obras!$G$5:$G$19,MATCH($B285,Obras!$A$5:$A$19,0))),""))</x:f>
      </x:c>
      <x:c r="E285" s="259"/>
      <x:c r="F285" s="268"/>
      <x:c r="G285" s="259"/>
      <x:c r="H285" s="259"/>
      <x:c r="I285" s="259"/>
      <x:c r="J285" s="181" t="str">
        <x:f t="shared" si="8"/>
      </x:c>
      <x:c r="K285" s="176" t="str">
        <x:f t="shared" si="9"/>
      </x:c>
      <x:c r="L285" s="181" t="str">
        <x:f>IF($C285="","",IFERROR(IF(INDEX(Catalogo!$H$5:$H$86,MATCH($C285,Catalogo!$A$5:$A$86,0))="","",INDEX(Catalogo!$H$5:$H$86,MATCH($C285,Catalogo!$A$5:$A$86,0))),""))</x:f>
      </x:c>
      <x:c r="M285" s="176" t="str">
        <x:f>IF(OR($B285="",$L285=""),"",IFERROR(IF(INDEX(Obras!$H$5:$H$19,MATCH($B285,Obras!$A$5:$A$19,0))="","",IF(INDEX(Obras!$H$5:$H$19,MATCH($B285,Obras!$A$5:$A$19,0))&gt;$L285,"VENCIDA",IF($L285-INDEX(Obras!$H$5:$H$19,MATCH($B285,Obras!$A$5:$A$19,0))&lt;=0.5,"VENCE EM ATÉ 6 MESES","VIGENTE"))),""))</x:f>
      </x:c>
      <x:c r="N285" s="268"/>
    </x:row>
    <x:row r="286" ht="30" customHeight="1">
      <x:c r="A286" s="176" t="str">
        <x:f>IF(OR($B286="",$C286=""),"","LC-"&amp;TEXT(282,"0000"))</x:f>
      </x:c>
      <x:c r="B286" s="259"/>
      <x:c r="C286" s="259"/>
      <x:c r="D286" s="271" t="str">
        <x:f>IF($B286="","",IFERROR(IF(INDEX(Obras!$G$5:$G$19,MATCH($B286,Obras!$A$5:$A$19,0))="","",INDEX(Obras!$G$5:$G$19,MATCH($B286,Obras!$A$5:$A$19,0))),""))</x:f>
      </x:c>
      <x:c r="E286" s="259"/>
      <x:c r="F286" s="268"/>
      <x:c r="G286" s="259"/>
      <x:c r="H286" s="259"/>
      <x:c r="I286" s="259"/>
      <x:c r="J286" s="181" t="str">
        <x:f t="shared" si="8"/>
      </x:c>
      <x:c r="K286" s="176" t="str">
        <x:f t="shared" si="9"/>
      </x:c>
      <x:c r="L286" s="181" t="str">
        <x:f>IF($C286="","",IFERROR(IF(INDEX(Catalogo!$H$5:$H$86,MATCH($C286,Catalogo!$A$5:$A$86,0))="","",INDEX(Catalogo!$H$5:$H$86,MATCH($C286,Catalogo!$A$5:$A$86,0))),""))</x:f>
      </x:c>
      <x:c r="M286" s="176" t="str">
        <x:f>IF(OR($B286="",$L286=""),"",IFERROR(IF(INDEX(Obras!$H$5:$H$19,MATCH($B286,Obras!$A$5:$A$19,0))="","",IF(INDEX(Obras!$H$5:$H$19,MATCH($B286,Obras!$A$5:$A$19,0))&gt;$L286,"VENCIDA",IF($L286-INDEX(Obras!$H$5:$H$19,MATCH($B286,Obras!$A$5:$A$19,0))&lt;=0.5,"VENCE EM ATÉ 6 MESES","VIGENTE"))),""))</x:f>
      </x:c>
      <x:c r="N286" s="268"/>
    </x:row>
    <x:row r="287" ht="30" customHeight="1">
      <x:c r="A287" s="176" t="str">
        <x:f>IF(OR($B287="",$C287=""),"","LC-"&amp;TEXT(283,"0000"))</x:f>
      </x:c>
      <x:c r="B287" s="259"/>
      <x:c r="C287" s="259"/>
      <x:c r="D287" s="271" t="str">
        <x:f>IF($B287="","",IFERROR(IF(INDEX(Obras!$G$5:$G$19,MATCH($B287,Obras!$A$5:$A$19,0))="","",INDEX(Obras!$G$5:$G$19,MATCH($B287,Obras!$A$5:$A$19,0))),""))</x:f>
      </x:c>
      <x:c r="E287" s="259"/>
      <x:c r="F287" s="268"/>
      <x:c r="G287" s="259"/>
      <x:c r="H287" s="259"/>
      <x:c r="I287" s="259"/>
      <x:c r="J287" s="181" t="str">
        <x:f t="shared" si="8"/>
      </x:c>
      <x:c r="K287" s="176" t="str">
        <x:f t="shared" si="9"/>
      </x:c>
      <x:c r="L287" s="181" t="str">
        <x:f>IF($C287="","",IFERROR(IF(INDEX(Catalogo!$H$5:$H$86,MATCH($C287,Catalogo!$A$5:$A$86,0))="","",INDEX(Catalogo!$H$5:$H$86,MATCH($C287,Catalogo!$A$5:$A$86,0))),""))</x:f>
      </x:c>
      <x:c r="M287" s="176" t="str">
        <x:f>IF(OR($B287="",$L287=""),"",IFERROR(IF(INDEX(Obras!$H$5:$H$19,MATCH($B287,Obras!$A$5:$A$19,0))="","",IF(INDEX(Obras!$H$5:$H$19,MATCH($B287,Obras!$A$5:$A$19,0))&gt;$L287,"VENCIDA",IF($L287-INDEX(Obras!$H$5:$H$19,MATCH($B287,Obras!$A$5:$A$19,0))&lt;=0.5,"VENCE EM ATÉ 6 MESES","VIGENTE"))),""))</x:f>
      </x:c>
      <x:c r="N287" s="268"/>
    </x:row>
    <x:row r="288" ht="30" customHeight="1">
      <x:c r="A288" s="176" t="str">
        <x:f>IF(OR($B288="",$C288=""),"","LC-"&amp;TEXT(284,"0000"))</x:f>
      </x:c>
      <x:c r="B288" s="259"/>
      <x:c r="C288" s="259"/>
      <x:c r="D288" s="271" t="str">
        <x:f>IF($B288="","",IFERROR(IF(INDEX(Obras!$G$5:$G$19,MATCH($B288,Obras!$A$5:$A$19,0))="","",INDEX(Obras!$G$5:$G$19,MATCH($B288,Obras!$A$5:$A$19,0))),""))</x:f>
      </x:c>
      <x:c r="E288" s="259"/>
      <x:c r="F288" s="268"/>
      <x:c r="G288" s="259"/>
      <x:c r="H288" s="259"/>
      <x:c r="I288" s="259"/>
      <x:c r="J288" s="181" t="str">
        <x:f t="shared" si="8"/>
      </x:c>
      <x:c r="K288" s="176" t="str">
        <x:f t="shared" si="9"/>
      </x:c>
      <x:c r="L288" s="181" t="str">
        <x:f>IF($C288="","",IFERROR(IF(INDEX(Catalogo!$H$5:$H$86,MATCH($C288,Catalogo!$A$5:$A$86,0))="","",INDEX(Catalogo!$H$5:$H$86,MATCH($C288,Catalogo!$A$5:$A$86,0))),""))</x:f>
      </x:c>
      <x:c r="M288" s="176" t="str">
        <x:f>IF(OR($B288="",$L288=""),"",IFERROR(IF(INDEX(Obras!$H$5:$H$19,MATCH($B288,Obras!$A$5:$A$19,0))="","",IF(INDEX(Obras!$H$5:$H$19,MATCH($B288,Obras!$A$5:$A$19,0))&gt;$L288,"VENCIDA",IF($L288-INDEX(Obras!$H$5:$H$19,MATCH($B288,Obras!$A$5:$A$19,0))&lt;=0.5,"VENCE EM ATÉ 6 MESES","VIGENTE"))),""))</x:f>
      </x:c>
      <x:c r="N288" s="268"/>
    </x:row>
    <x:row r="289" ht="30" customHeight="1">
      <x:c r="A289" s="176" t="str">
        <x:f>IF(OR($B289="",$C289=""),"","LC-"&amp;TEXT(285,"0000"))</x:f>
      </x:c>
      <x:c r="B289" s="259"/>
      <x:c r="C289" s="259"/>
      <x:c r="D289" s="271" t="str">
        <x:f>IF($B289="","",IFERROR(IF(INDEX(Obras!$G$5:$G$19,MATCH($B289,Obras!$A$5:$A$19,0))="","",INDEX(Obras!$G$5:$G$19,MATCH($B289,Obras!$A$5:$A$19,0))),""))</x:f>
      </x:c>
      <x:c r="E289" s="259"/>
      <x:c r="F289" s="268"/>
      <x:c r="G289" s="259"/>
      <x:c r="H289" s="259"/>
      <x:c r="I289" s="259"/>
      <x:c r="J289" s="181" t="str">
        <x:f t="shared" si="8"/>
      </x:c>
      <x:c r="K289" s="176" t="str">
        <x:f t="shared" si="9"/>
      </x:c>
      <x:c r="L289" s="181" t="str">
        <x:f>IF($C289="","",IFERROR(IF(INDEX(Catalogo!$H$5:$H$86,MATCH($C289,Catalogo!$A$5:$A$86,0))="","",INDEX(Catalogo!$H$5:$H$86,MATCH($C289,Catalogo!$A$5:$A$86,0))),""))</x:f>
      </x:c>
      <x:c r="M289" s="176" t="str">
        <x:f>IF(OR($B289="",$L289=""),"",IFERROR(IF(INDEX(Obras!$H$5:$H$19,MATCH($B289,Obras!$A$5:$A$19,0))="","",IF(INDEX(Obras!$H$5:$H$19,MATCH($B289,Obras!$A$5:$A$19,0))&gt;$L289,"VENCIDA",IF($L289-INDEX(Obras!$H$5:$H$19,MATCH($B289,Obras!$A$5:$A$19,0))&lt;=0.5,"VENCE EM ATÉ 6 MESES","VIGENTE"))),""))</x:f>
      </x:c>
      <x:c r="N289" s="268"/>
    </x:row>
    <x:row r="290" ht="30" customHeight="1">
      <x:c r="A290" s="176" t="str">
        <x:f>IF(OR($B290="",$C290=""),"","LC-"&amp;TEXT(286,"0000"))</x:f>
      </x:c>
      <x:c r="B290" s="259"/>
      <x:c r="C290" s="259"/>
      <x:c r="D290" s="271" t="str">
        <x:f>IF($B290="","",IFERROR(IF(INDEX(Obras!$G$5:$G$19,MATCH($B290,Obras!$A$5:$A$19,0))="","",INDEX(Obras!$G$5:$G$19,MATCH($B290,Obras!$A$5:$A$19,0))),""))</x:f>
      </x:c>
      <x:c r="E290" s="259"/>
      <x:c r="F290" s="268"/>
      <x:c r="G290" s="259"/>
      <x:c r="H290" s="259"/>
      <x:c r="I290" s="259"/>
      <x:c r="J290" s="181" t="str">
        <x:f t="shared" si="8"/>
      </x:c>
      <x:c r="K290" s="176" t="str">
        <x:f t="shared" si="9"/>
      </x:c>
      <x:c r="L290" s="181" t="str">
        <x:f>IF($C290="","",IFERROR(IF(INDEX(Catalogo!$H$5:$H$86,MATCH($C290,Catalogo!$A$5:$A$86,0))="","",INDEX(Catalogo!$H$5:$H$86,MATCH($C290,Catalogo!$A$5:$A$86,0))),""))</x:f>
      </x:c>
      <x:c r="M290" s="176" t="str">
        <x:f>IF(OR($B290="",$L290=""),"",IFERROR(IF(INDEX(Obras!$H$5:$H$19,MATCH($B290,Obras!$A$5:$A$19,0))="","",IF(INDEX(Obras!$H$5:$H$19,MATCH($B290,Obras!$A$5:$A$19,0))&gt;$L290,"VENCIDA",IF($L290-INDEX(Obras!$H$5:$H$19,MATCH($B290,Obras!$A$5:$A$19,0))&lt;=0.5,"VENCE EM ATÉ 6 MESES","VIGENTE"))),""))</x:f>
      </x:c>
      <x:c r="N290" s="268"/>
    </x:row>
    <x:row r="291" ht="30" customHeight="1">
      <x:c r="A291" s="176" t="str">
        <x:f>IF(OR($B291="",$C291=""),"","LC-"&amp;TEXT(287,"0000"))</x:f>
      </x:c>
      <x:c r="B291" s="259"/>
      <x:c r="C291" s="259"/>
      <x:c r="D291" s="271" t="str">
        <x:f>IF($B291="","",IFERROR(IF(INDEX(Obras!$G$5:$G$19,MATCH($B291,Obras!$A$5:$A$19,0))="","",INDEX(Obras!$G$5:$G$19,MATCH($B291,Obras!$A$5:$A$19,0))),""))</x:f>
      </x:c>
      <x:c r="E291" s="259"/>
      <x:c r="F291" s="268"/>
      <x:c r="G291" s="259"/>
      <x:c r="H291" s="259"/>
      <x:c r="I291" s="259"/>
      <x:c r="J291" s="181" t="str">
        <x:f t="shared" si="8"/>
      </x:c>
      <x:c r="K291" s="176" t="str">
        <x:f t="shared" si="9"/>
      </x:c>
      <x:c r="L291" s="181" t="str">
        <x:f>IF($C291="","",IFERROR(IF(INDEX(Catalogo!$H$5:$H$86,MATCH($C291,Catalogo!$A$5:$A$86,0))="","",INDEX(Catalogo!$H$5:$H$86,MATCH($C291,Catalogo!$A$5:$A$86,0))),""))</x:f>
      </x:c>
      <x:c r="M291" s="176" t="str">
        <x:f>IF(OR($B291="",$L291=""),"",IFERROR(IF(INDEX(Obras!$H$5:$H$19,MATCH($B291,Obras!$A$5:$A$19,0))="","",IF(INDEX(Obras!$H$5:$H$19,MATCH($B291,Obras!$A$5:$A$19,0))&gt;$L291,"VENCIDA",IF($L291-INDEX(Obras!$H$5:$H$19,MATCH($B291,Obras!$A$5:$A$19,0))&lt;=0.5,"VENCE EM ATÉ 6 MESES","VIGENTE"))),""))</x:f>
      </x:c>
      <x:c r="N291" s="268"/>
    </x:row>
    <x:row r="292" ht="30" customHeight="1">
      <x:c r="A292" s="176" t="str">
        <x:f>IF(OR($B292="",$C292=""),"","LC-"&amp;TEXT(288,"0000"))</x:f>
      </x:c>
      <x:c r="B292" s="259"/>
      <x:c r="C292" s="259"/>
      <x:c r="D292" s="271" t="str">
        <x:f>IF($B292="","",IFERROR(IF(INDEX(Obras!$G$5:$G$19,MATCH($B292,Obras!$A$5:$A$19,0))="","",INDEX(Obras!$G$5:$G$19,MATCH($B292,Obras!$A$5:$A$19,0))),""))</x:f>
      </x:c>
      <x:c r="E292" s="259"/>
      <x:c r="F292" s="268"/>
      <x:c r="G292" s="259"/>
      <x:c r="H292" s="259"/>
      <x:c r="I292" s="259"/>
      <x:c r="J292" s="181" t="str">
        <x:f t="shared" si="8"/>
      </x:c>
      <x:c r="K292" s="176" t="str">
        <x:f t="shared" si="9"/>
      </x:c>
      <x:c r="L292" s="181" t="str">
        <x:f>IF($C292="","",IFERROR(IF(INDEX(Catalogo!$H$5:$H$86,MATCH($C292,Catalogo!$A$5:$A$86,0))="","",INDEX(Catalogo!$H$5:$H$86,MATCH($C292,Catalogo!$A$5:$A$86,0))),""))</x:f>
      </x:c>
      <x:c r="M292" s="176" t="str">
        <x:f>IF(OR($B292="",$L292=""),"",IFERROR(IF(INDEX(Obras!$H$5:$H$19,MATCH($B292,Obras!$A$5:$A$19,0))="","",IF(INDEX(Obras!$H$5:$H$19,MATCH($B292,Obras!$A$5:$A$19,0))&gt;$L292,"VENCIDA",IF($L292-INDEX(Obras!$H$5:$H$19,MATCH($B292,Obras!$A$5:$A$19,0))&lt;=0.5,"VENCE EM ATÉ 6 MESES","VIGENTE"))),""))</x:f>
      </x:c>
      <x:c r="N292" s="268"/>
    </x:row>
    <x:row r="293" ht="30" customHeight="1">
      <x:c r="A293" s="176" t="str">
        <x:f>IF(OR($B293="",$C293=""),"","LC-"&amp;TEXT(289,"0000"))</x:f>
      </x:c>
      <x:c r="B293" s="259"/>
      <x:c r="C293" s="259"/>
      <x:c r="D293" s="271" t="str">
        <x:f>IF($B293="","",IFERROR(IF(INDEX(Obras!$G$5:$G$19,MATCH($B293,Obras!$A$5:$A$19,0))="","",INDEX(Obras!$G$5:$G$19,MATCH($B293,Obras!$A$5:$A$19,0))),""))</x:f>
      </x:c>
      <x:c r="E293" s="259"/>
      <x:c r="F293" s="268"/>
      <x:c r="G293" s="259"/>
      <x:c r="H293" s="259"/>
      <x:c r="I293" s="259"/>
      <x:c r="J293" s="181" t="str">
        <x:f t="shared" si="8"/>
      </x:c>
      <x:c r="K293" s="176" t="str">
        <x:f t="shared" si="9"/>
      </x:c>
      <x:c r="L293" s="181" t="str">
        <x:f>IF($C293="","",IFERROR(IF(INDEX(Catalogo!$H$5:$H$86,MATCH($C293,Catalogo!$A$5:$A$86,0))="","",INDEX(Catalogo!$H$5:$H$86,MATCH($C293,Catalogo!$A$5:$A$86,0))),""))</x:f>
      </x:c>
      <x:c r="M293" s="176" t="str">
        <x:f>IF(OR($B293="",$L293=""),"",IFERROR(IF(INDEX(Obras!$H$5:$H$19,MATCH($B293,Obras!$A$5:$A$19,0))="","",IF(INDEX(Obras!$H$5:$H$19,MATCH($B293,Obras!$A$5:$A$19,0))&gt;$L293,"VENCIDA",IF($L293-INDEX(Obras!$H$5:$H$19,MATCH($B293,Obras!$A$5:$A$19,0))&lt;=0.5,"VENCE EM ATÉ 6 MESES","VIGENTE"))),""))</x:f>
      </x:c>
      <x:c r="N293" s="268"/>
    </x:row>
    <x:row r="294" ht="30" customHeight="1">
      <x:c r="A294" s="176" t="str">
        <x:f>IF(OR($B294="",$C294=""),"","LC-"&amp;TEXT(290,"0000"))</x:f>
      </x:c>
      <x:c r="B294" s="259"/>
      <x:c r="C294" s="259"/>
      <x:c r="D294" s="271" t="str">
        <x:f>IF($B294="","",IFERROR(IF(INDEX(Obras!$G$5:$G$19,MATCH($B294,Obras!$A$5:$A$19,0))="","",INDEX(Obras!$G$5:$G$19,MATCH($B294,Obras!$A$5:$A$19,0))),""))</x:f>
      </x:c>
      <x:c r="E294" s="259"/>
      <x:c r="F294" s="268"/>
      <x:c r="G294" s="259"/>
      <x:c r="H294" s="259"/>
      <x:c r="I294" s="259"/>
      <x:c r="J294" s="181" t="str">
        <x:f t="shared" si="8"/>
      </x:c>
      <x:c r="K294" s="176" t="str">
        <x:f t="shared" si="9"/>
      </x:c>
      <x:c r="L294" s="181" t="str">
        <x:f>IF($C294="","",IFERROR(IF(INDEX(Catalogo!$H$5:$H$86,MATCH($C294,Catalogo!$A$5:$A$86,0))="","",INDEX(Catalogo!$H$5:$H$86,MATCH($C294,Catalogo!$A$5:$A$86,0))),""))</x:f>
      </x:c>
      <x:c r="M294" s="176" t="str">
        <x:f>IF(OR($B294="",$L294=""),"",IFERROR(IF(INDEX(Obras!$H$5:$H$19,MATCH($B294,Obras!$A$5:$A$19,0))="","",IF(INDEX(Obras!$H$5:$H$19,MATCH($B294,Obras!$A$5:$A$19,0))&gt;$L294,"VENCIDA",IF($L294-INDEX(Obras!$H$5:$H$19,MATCH($B294,Obras!$A$5:$A$19,0))&lt;=0.5,"VENCE EM ATÉ 6 MESES","VIGENTE"))),""))</x:f>
      </x:c>
      <x:c r="N294" s="268"/>
    </x:row>
    <x:row r="295" ht="30" customHeight="1">
      <x:c r="A295" s="176" t="str">
        <x:f>IF(OR($B295="",$C295=""),"","LC-"&amp;TEXT(291,"0000"))</x:f>
      </x:c>
      <x:c r="B295" s="259"/>
      <x:c r="C295" s="259"/>
      <x:c r="D295" s="271" t="str">
        <x:f>IF($B295="","",IFERROR(IF(INDEX(Obras!$G$5:$G$19,MATCH($B295,Obras!$A$5:$A$19,0))="","",INDEX(Obras!$G$5:$G$19,MATCH($B295,Obras!$A$5:$A$19,0))),""))</x:f>
      </x:c>
      <x:c r="E295" s="259"/>
      <x:c r="F295" s="268"/>
      <x:c r="G295" s="259"/>
      <x:c r="H295" s="259"/>
      <x:c r="I295" s="259"/>
      <x:c r="J295" s="181" t="str">
        <x:f t="shared" si="8"/>
      </x:c>
      <x:c r="K295" s="176" t="str">
        <x:f t="shared" si="9"/>
      </x:c>
      <x:c r="L295" s="181" t="str">
        <x:f>IF($C295="","",IFERROR(IF(INDEX(Catalogo!$H$5:$H$86,MATCH($C295,Catalogo!$A$5:$A$86,0))="","",INDEX(Catalogo!$H$5:$H$86,MATCH($C295,Catalogo!$A$5:$A$86,0))),""))</x:f>
      </x:c>
      <x:c r="M295" s="176" t="str">
        <x:f>IF(OR($B295="",$L295=""),"",IFERROR(IF(INDEX(Obras!$H$5:$H$19,MATCH($B295,Obras!$A$5:$A$19,0))="","",IF(INDEX(Obras!$H$5:$H$19,MATCH($B295,Obras!$A$5:$A$19,0))&gt;$L295,"VENCIDA",IF($L295-INDEX(Obras!$H$5:$H$19,MATCH($B295,Obras!$A$5:$A$19,0))&lt;=0.5,"VENCE EM ATÉ 6 MESES","VIGENTE"))),""))</x:f>
      </x:c>
      <x:c r="N295" s="268"/>
    </x:row>
    <x:row r="296" ht="30" customHeight="1">
      <x:c r="A296" s="176" t="str">
        <x:f>IF(OR($B296="",$C296=""),"","LC-"&amp;TEXT(292,"0000"))</x:f>
      </x:c>
      <x:c r="B296" s="259"/>
      <x:c r="C296" s="259"/>
      <x:c r="D296" s="271" t="str">
        <x:f>IF($B296="","",IFERROR(IF(INDEX(Obras!$G$5:$G$19,MATCH($B296,Obras!$A$5:$A$19,0))="","",INDEX(Obras!$G$5:$G$19,MATCH($B296,Obras!$A$5:$A$19,0))),""))</x:f>
      </x:c>
      <x:c r="E296" s="259"/>
      <x:c r="F296" s="268"/>
      <x:c r="G296" s="259"/>
      <x:c r="H296" s="259"/>
      <x:c r="I296" s="259"/>
      <x:c r="J296" s="181" t="str">
        <x:f t="shared" si="8"/>
      </x:c>
      <x:c r="K296" s="176" t="str">
        <x:f t="shared" si="9"/>
      </x:c>
      <x:c r="L296" s="181" t="str">
        <x:f>IF($C296="","",IFERROR(IF(INDEX(Catalogo!$H$5:$H$86,MATCH($C296,Catalogo!$A$5:$A$86,0))="","",INDEX(Catalogo!$H$5:$H$86,MATCH($C296,Catalogo!$A$5:$A$86,0))),""))</x:f>
      </x:c>
      <x:c r="M296" s="176" t="str">
        <x:f>IF(OR($B296="",$L296=""),"",IFERROR(IF(INDEX(Obras!$H$5:$H$19,MATCH($B296,Obras!$A$5:$A$19,0))="","",IF(INDEX(Obras!$H$5:$H$19,MATCH($B296,Obras!$A$5:$A$19,0))&gt;$L296,"VENCIDA",IF($L296-INDEX(Obras!$H$5:$H$19,MATCH($B296,Obras!$A$5:$A$19,0))&lt;=0.5,"VENCE EM ATÉ 6 MESES","VIGENTE"))),""))</x:f>
      </x:c>
      <x:c r="N296" s="268"/>
    </x:row>
    <x:row r="297" ht="30" customHeight="1">
      <x:c r="A297" s="176" t="str">
        <x:f>IF(OR($B297="",$C297=""),"","LC-"&amp;TEXT(293,"0000"))</x:f>
      </x:c>
      <x:c r="B297" s="259"/>
      <x:c r="C297" s="259"/>
      <x:c r="D297" s="271" t="str">
        <x:f>IF($B297="","",IFERROR(IF(INDEX(Obras!$G$5:$G$19,MATCH($B297,Obras!$A$5:$A$19,0))="","",INDEX(Obras!$G$5:$G$19,MATCH($B297,Obras!$A$5:$A$19,0))),""))</x:f>
      </x:c>
      <x:c r="E297" s="259"/>
      <x:c r="F297" s="268"/>
      <x:c r="G297" s="259"/>
      <x:c r="H297" s="259"/>
      <x:c r="I297" s="259"/>
      <x:c r="J297" s="181" t="str">
        <x:f t="shared" si="8"/>
      </x:c>
      <x:c r="K297" s="176" t="str">
        <x:f t="shared" si="9"/>
      </x:c>
      <x:c r="L297" s="181" t="str">
        <x:f>IF($C297="","",IFERROR(IF(INDEX(Catalogo!$H$5:$H$86,MATCH($C297,Catalogo!$A$5:$A$86,0))="","",INDEX(Catalogo!$H$5:$H$86,MATCH($C297,Catalogo!$A$5:$A$86,0))),""))</x:f>
      </x:c>
      <x:c r="M297" s="176" t="str">
        <x:f>IF(OR($B297="",$L297=""),"",IFERROR(IF(INDEX(Obras!$H$5:$H$19,MATCH($B297,Obras!$A$5:$A$19,0))="","",IF(INDEX(Obras!$H$5:$H$19,MATCH($B297,Obras!$A$5:$A$19,0))&gt;$L297,"VENCIDA",IF($L297-INDEX(Obras!$H$5:$H$19,MATCH($B297,Obras!$A$5:$A$19,0))&lt;=0.5,"VENCE EM ATÉ 6 MESES","VIGENTE"))),""))</x:f>
      </x:c>
      <x:c r="N297" s="268"/>
    </x:row>
    <x:row r="298" ht="30" customHeight="1">
      <x:c r="A298" s="176" t="str">
        <x:f>IF(OR($B298="",$C298=""),"","LC-"&amp;TEXT(294,"0000"))</x:f>
      </x:c>
      <x:c r="B298" s="259"/>
      <x:c r="C298" s="259"/>
      <x:c r="D298" s="271" t="str">
        <x:f>IF($B298="","",IFERROR(IF(INDEX(Obras!$G$5:$G$19,MATCH($B298,Obras!$A$5:$A$19,0))="","",INDEX(Obras!$G$5:$G$19,MATCH($B298,Obras!$A$5:$A$19,0))),""))</x:f>
      </x:c>
      <x:c r="E298" s="259"/>
      <x:c r="F298" s="268"/>
      <x:c r="G298" s="259"/>
      <x:c r="H298" s="259"/>
      <x:c r="I298" s="259"/>
      <x:c r="J298" s="181" t="str">
        <x:f t="shared" si="8"/>
      </x:c>
      <x:c r="K298" s="176" t="str">
        <x:f t="shared" si="9"/>
      </x:c>
      <x:c r="L298" s="181" t="str">
        <x:f>IF($C298="","",IFERROR(IF(INDEX(Catalogo!$H$5:$H$86,MATCH($C298,Catalogo!$A$5:$A$86,0))="","",INDEX(Catalogo!$H$5:$H$86,MATCH($C298,Catalogo!$A$5:$A$86,0))),""))</x:f>
      </x:c>
      <x:c r="M298" s="176" t="str">
        <x:f>IF(OR($B298="",$L298=""),"",IFERROR(IF(INDEX(Obras!$H$5:$H$19,MATCH($B298,Obras!$A$5:$A$19,0))="","",IF(INDEX(Obras!$H$5:$H$19,MATCH($B298,Obras!$A$5:$A$19,0))&gt;$L298,"VENCIDA",IF($L298-INDEX(Obras!$H$5:$H$19,MATCH($B298,Obras!$A$5:$A$19,0))&lt;=0.5,"VENCE EM ATÉ 6 MESES","VIGENTE"))),""))</x:f>
      </x:c>
      <x:c r="N298" s="268"/>
    </x:row>
    <x:row r="299" ht="30" customHeight="1">
      <x:c r="A299" s="176" t="str">
        <x:f>IF(OR($B299="",$C299=""),"","LC-"&amp;TEXT(295,"0000"))</x:f>
      </x:c>
      <x:c r="B299" s="259"/>
      <x:c r="C299" s="259"/>
      <x:c r="D299" s="271" t="str">
        <x:f>IF($B299="","",IFERROR(IF(INDEX(Obras!$G$5:$G$19,MATCH($B299,Obras!$A$5:$A$19,0))="","",INDEX(Obras!$G$5:$G$19,MATCH($B299,Obras!$A$5:$A$19,0))),""))</x:f>
      </x:c>
      <x:c r="E299" s="259"/>
      <x:c r="F299" s="268"/>
      <x:c r="G299" s="259"/>
      <x:c r="H299" s="259"/>
      <x:c r="I299" s="259"/>
      <x:c r="J299" s="181" t="str">
        <x:f t="shared" si="8"/>
      </x:c>
      <x:c r="K299" s="176" t="str">
        <x:f t="shared" si="9"/>
      </x:c>
      <x:c r="L299" s="181" t="str">
        <x:f>IF($C299="","",IFERROR(IF(INDEX(Catalogo!$H$5:$H$86,MATCH($C299,Catalogo!$A$5:$A$86,0))="","",INDEX(Catalogo!$H$5:$H$86,MATCH($C299,Catalogo!$A$5:$A$86,0))),""))</x:f>
      </x:c>
      <x:c r="M299" s="176" t="str">
        <x:f>IF(OR($B299="",$L299=""),"",IFERROR(IF(INDEX(Obras!$H$5:$H$19,MATCH($B299,Obras!$A$5:$A$19,0))="","",IF(INDEX(Obras!$H$5:$H$19,MATCH($B299,Obras!$A$5:$A$19,0))&gt;$L299,"VENCIDA",IF($L299-INDEX(Obras!$H$5:$H$19,MATCH($B299,Obras!$A$5:$A$19,0))&lt;=0.5,"VENCE EM ATÉ 6 MESES","VIGENTE"))),""))</x:f>
      </x:c>
      <x:c r="N299" s="268"/>
    </x:row>
    <x:row r="300" ht="30" customHeight="1">
      <x:c r="A300" s="176" t="str">
        <x:f>IF(OR($B300="",$C300=""),"","LC-"&amp;TEXT(296,"0000"))</x:f>
      </x:c>
      <x:c r="B300" s="259"/>
      <x:c r="C300" s="259"/>
      <x:c r="D300" s="271" t="str">
        <x:f>IF($B300="","",IFERROR(IF(INDEX(Obras!$G$5:$G$19,MATCH($B300,Obras!$A$5:$A$19,0))="","",INDEX(Obras!$G$5:$G$19,MATCH($B300,Obras!$A$5:$A$19,0))),""))</x:f>
      </x:c>
      <x:c r="E300" s="259"/>
      <x:c r="F300" s="268"/>
      <x:c r="G300" s="259"/>
      <x:c r="H300" s="259"/>
      <x:c r="I300" s="259"/>
      <x:c r="J300" s="181" t="str">
        <x:f t="shared" si="8"/>
      </x:c>
      <x:c r="K300" s="176" t="str">
        <x:f t="shared" si="9"/>
      </x:c>
      <x:c r="L300" s="181" t="str">
        <x:f>IF($C300="","",IFERROR(IF(INDEX(Catalogo!$H$5:$H$86,MATCH($C300,Catalogo!$A$5:$A$86,0))="","",INDEX(Catalogo!$H$5:$H$86,MATCH($C300,Catalogo!$A$5:$A$86,0))),""))</x:f>
      </x:c>
      <x:c r="M300" s="176" t="str">
        <x:f>IF(OR($B300="",$L300=""),"",IFERROR(IF(INDEX(Obras!$H$5:$H$19,MATCH($B300,Obras!$A$5:$A$19,0))="","",IF(INDEX(Obras!$H$5:$H$19,MATCH($B300,Obras!$A$5:$A$19,0))&gt;$L300,"VENCIDA",IF($L300-INDEX(Obras!$H$5:$H$19,MATCH($B300,Obras!$A$5:$A$19,0))&lt;=0.5,"VENCE EM ATÉ 6 MESES","VIGENTE"))),""))</x:f>
      </x:c>
      <x:c r="N300" s="268"/>
    </x:row>
    <x:row r="301" ht="30" customHeight="1">
      <x:c r="A301" s="176" t="str">
        <x:f>IF(OR($B301="",$C301=""),"","LC-"&amp;TEXT(297,"0000"))</x:f>
      </x:c>
      <x:c r="B301" s="259"/>
      <x:c r="C301" s="259"/>
      <x:c r="D301" s="271" t="str">
        <x:f>IF($B301="","",IFERROR(IF(INDEX(Obras!$G$5:$G$19,MATCH($B301,Obras!$A$5:$A$19,0))="","",INDEX(Obras!$G$5:$G$19,MATCH($B301,Obras!$A$5:$A$19,0))),""))</x:f>
      </x:c>
      <x:c r="E301" s="259"/>
      <x:c r="F301" s="268"/>
      <x:c r="G301" s="259"/>
      <x:c r="H301" s="259"/>
      <x:c r="I301" s="259"/>
      <x:c r="J301" s="181" t="str">
        <x:f t="shared" si="8"/>
      </x:c>
      <x:c r="K301" s="176" t="str">
        <x:f t="shared" si="9"/>
      </x:c>
      <x:c r="L301" s="181" t="str">
        <x:f>IF($C301="","",IFERROR(IF(INDEX(Catalogo!$H$5:$H$86,MATCH($C301,Catalogo!$A$5:$A$86,0))="","",INDEX(Catalogo!$H$5:$H$86,MATCH($C301,Catalogo!$A$5:$A$86,0))),""))</x:f>
      </x:c>
      <x:c r="M301" s="176" t="str">
        <x:f>IF(OR($B301="",$L301=""),"",IFERROR(IF(INDEX(Obras!$H$5:$H$19,MATCH($B301,Obras!$A$5:$A$19,0))="","",IF(INDEX(Obras!$H$5:$H$19,MATCH($B301,Obras!$A$5:$A$19,0))&gt;$L301,"VENCIDA",IF($L301-INDEX(Obras!$H$5:$H$19,MATCH($B301,Obras!$A$5:$A$19,0))&lt;=0.5,"VENCE EM ATÉ 6 MESES","VIGENTE"))),""))</x:f>
      </x:c>
      <x:c r="N301" s="268"/>
    </x:row>
    <x:row r="302" ht="30" customHeight="1">
      <x:c r="A302" s="176" t="str">
        <x:f>IF(OR($B302="",$C302=""),"","LC-"&amp;TEXT(298,"0000"))</x:f>
      </x:c>
      <x:c r="B302" s="259"/>
      <x:c r="C302" s="259"/>
      <x:c r="D302" s="271" t="str">
        <x:f>IF($B302="","",IFERROR(IF(INDEX(Obras!$G$5:$G$19,MATCH($B302,Obras!$A$5:$A$19,0))="","",INDEX(Obras!$G$5:$G$19,MATCH($B302,Obras!$A$5:$A$19,0))),""))</x:f>
      </x:c>
      <x:c r="E302" s="259"/>
      <x:c r="F302" s="268"/>
      <x:c r="G302" s="259"/>
      <x:c r="H302" s="259"/>
      <x:c r="I302" s="259"/>
      <x:c r="J302" s="181" t="str">
        <x:f t="shared" si="8"/>
      </x:c>
      <x:c r="K302" s="176" t="str">
        <x:f t="shared" si="9"/>
      </x:c>
      <x:c r="L302" s="181" t="str">
        <x:f>IF($C302="","",IFERROR(IF(INDEX(Catalogo!$H$5:$H$86,MATCH($C302,Catalogo!$A$5:$A$86,0))="","",INDEX(Catalogo!$H$5:$H$86,MATCH($C302,Catalogo!$A$5:$A$86,0))),""))</x:f>
      </x:c>
      <x:c r="M302" s="176" t="str">
        <x:f>IF(OR($B302="",$L302=""),"",IFERROR(IF(INDEX(Obras!$H$5:$H$19,MATCH($B302,Obras!$A$5:$A$19,0))="","",IF(INDEX(Obras!$H$5:$H$19,MATCH($B302,Obras!$A$5:$A$19,0))&gt;$L302,"VENCIDA",IF($L302-INDEX(Obras!$H$5:$H$19,MATCH($B302,Obras!$A$5:$A$19,0))&lt;=0.5,"VENCE EM ATÉ 6 MESES","VIGENTE"))),""))</x:f>
      </x:c>
      <x:c r="N302" s="268"/>
    </x:row>
    <x:row r="303" ht="30" customHeight="1">
      <x:c r="A303" s="176" t="str">
        <x:f>IF(OR($B303="",$C303=""),"","LC-"&amp;TEXT(299,"0000"))</x:f>
      </x:c>
      <x:c r="B303" s="259"/>
      <x:c r="C303" s="259"/>
      <x:c r="D303" s="271" t="str">
        <x:f>IF($B303="","",IFERROR(IF(INDEX(Obras!$G$5:$G$19,MATCH($B303,Obras!$A$5:$A$19,0))="","",INDEX(Obras!$G$5:$G$19,MATCH($B303,Obras!$A$5:$A$19,0))),""))</x:f>
      </x:c>
      <x:c r="E303" s="259"/>
      <x:c r="F303" s="268"/>
      <x:c r="G303" s="259"/>
      <x:c r="H303" s="259"/>
      <x:c r="I303" s="259"/>
      <x:c r="J303" s="181" t="str">
        <x:f t="shared" si="8"/>
      </x:c>
      <x:c r="K303" s="176" t="str">
        <x:f t="shared" si="9"/>
      </x:c>
      <x:c r="L303" s="181" t="str">
        <x:f>IF($C303="","",IFERROR(IF(INDEX(Catalogo!$H$5:$H$86,MATCH($C303,Catalogo!$A$5:$A$86,0))="","",INDEX(Catalogo!$H$5:$H$86,MATCH($C303,Catalogo!$A$5:$A$86,0))),""))</x:f>
      </x:c>
      <x:c r="M303" s="176" t="str">
        <x:f>IF(OR($B303="",$L303=""),"",IFERROR(IF(INDEX(Obras!$H$5:$H$19,MATCH($B303,Obras!$A$5:$A$19,0))="","",IF(INDEX(Obras!$H$5:$H$19,MATCH($B303,Obras!$A$5:$A$19,0))&gt;$L303,"VENCIDA",IF($L303-INDEX(Obras!$H$5:$H$19,MATCH($B303,Obras!$A$5:$A$19,0))&lt;=0.5,"VENCE EM ATÉ 6 MESES","VIGENTE"))),""))</x:f>
      </x:c>
      <x:c r="N303" s="268"/>
    </x:row>
    <x:row r="304" ht="30" customHeight="1">
      <x:c r="A304" s="176" t="str">
        <x:f>IF(OR($B304="",$C304=""),"","LC-"&amp;TEXT(300,"0000"))</x:f>
      </x:c>
      <x:c r="B304" s="259"/>
      <x:c r="C304" s="259"/>
      <x:c r="D304" s="271" t="str">
        <x:f>IF($B304="","",IFERROR(IF(INDEX(Obras!$G$5:$G$19,MATCH($B304,Obras!$A$5:$A$19,0))="","",INDEX(Obras!$G$5:$G$19,MATCH($B304,Obras!$A$5:$A$19,0))),""))</x:f>
      </x:c>
      <x:c r="E304" s="259"/>
      <x:c r="F304" s="268"/>
      <x:c r="G304" s="259"/>
      <x:c r="H304" s="259"/>
      <x:c r="I304" s="259"/>
      <x:c r="J304" s="181" t="str">
        <x:f t="shared" si="8"/>
      </x:c>
      <x:c r="K304" s="176" t="str">
        <x:f t="shared" si="9"/>
      </x:c>
      <x:c r="L304" s="181" t="str">
        <x:f>IF($C304="","",IFERROR(IF(INDEX(Catalogo!$H$5:$H$86,MATCH($C304,Catalogo!$A$5:$A$86,0))="","",INDEX(Catalogo!$H$5:$H$86,MATCH($C304,Catalogo!$A$5:$A$86,0))),""))</x:f>
      </x:c>
      <x:c r="M304" s="176" t="str">
        <x:f>IF(OR($B304="",$L304=""),"",IFERROR(IF(INDEX(Obras!$H$5:$H$19,MATCH($B304,Obras!$A$5:$A$19,0))="","",IF(INDEX(Obras!$H$5:$H$19,MATCH($B304,Obras!$A$5:$A$19,0))&gt;$L304,"VENCIDA",IF($L304-INDEX(Obras!$H$5:$H$19,MATCH($B304,Obras!$A$5:$A$19,0))&lt;=0.5,"VENCE EM ATÉ 6 MESES","VIGENTE"))),""))</x:f>
      </x:c>
      <x:c r="N304" s="268"/>
    </x:row>
    <x:row r="305" ht="30" customHeight="1">
      <x:c r="A305" s="176" t="str">
        <x:f>IF(OR($B305="",$C305=""),"","LC-"&amp;TEXT(301,"0000"))</x:f>
      </x:c>
      <x:c r="B305" s="259"/>
      <x:c r="C305" s="259"/>
      <x:c r="D305" s="271" t="str">
        <x:f>IF($B305="","",IFERROR(IF(INDEX(Obras!$G$5:$G$19,MATCH($B305,Obras!$A$5:$A$19,0))="","",INDEX(Obras!$G$5:$G$19,MATCH($B305,Obras!$A$5:$A$19,0))),""))</x:f>
      </x:c>
      <x:c r="E305" s="259"/>
      <x:c r="F305" s="268"/>
      <x:c r="G305" s="259"/>
      <x:c r="H305" s="259"/>
      <x:c r="I305" s="259"/>
      <x:c r="J305" s="181" t="str">
        <x:f t="shared" si="8"/>
      </x:c>
      <x:c r="K305" s="176" t="str">
        <x:f t="shared" si="9"/>
      </x:c>
      <x:c r="L305" s="181" t="str">
        <x:f>IF($C305="","",IFERROR(IF(INDEX(Catalogo!$H$5:$H$86,MATCH($C305,Catalogo!$A$5:$A$86,0))="","",INDEX(Catalogo!$H$5:$H$86,MATCH($C305,Catalogo!$A$5:$A$86,0))),""))</x:f>
      </x:c>
      <x:c r="M305" s="176" t="str">
        <x:f>IF(OR($B305="",$L305=""),"",IFERROR(IF(INDEX(Obras!$H$5:$H$19,MATCH($B305,Obras!$A$5:$A$19,0))="","",IF(INDEX(Obras!$H$5:$H$19,MATCH($B305,Obras!$A$5:$A$19,0))&gt;$L305,"VENCIDA",IF($L305-INDEX(Obras!$H$5:$H$19,MATCH($B305,Obras!$A$5:$A$19,0))&lt;=0.5,"VENCE EM ATÉ 6 MESES","VIGENTE"))),""))</x:f>
      </x:c>
      <x:c r="N305" s="268"/>
    </x:row>
    <x:row r="306" ht="30" customHeight="1">
      <x:c r="A306" s="176" t="str">
        <x:f>IF(OR($B306="",$C306=""),"","LC-"&amp;TEXT(302,"0000"))</x:f>
      </x:c>
      <x:c r="B306" s="259"/>
      <x:c r="C306" s="259"/>
      <x:c r="D306" s="271" t="str">
        <x:f>IF($B306="","",IFERROR(IF(INDEX(Obras!$G$5:$G$19,MATCH($B306,Obras!$A$5:$A$19,0))="","",INDEX(Obras!$G$5:$G$19,MATCH($B306,Obras!$A$5:$A$19,0))),""))</x:f>
      </x:c>
      <x:c r="E306" s="259"/>
      <x:c r="F306" s="268"/>
      <x:c r="G306" s="259"/>
      <x:c r="H306" s="259"/>
      <x:c r="I306" s="259"/>
      <x:c r="J306" s="181" t="str">
        <x:f t="shared" si="8"/>
      </x:c>
      <x:c r="K306" s="176" t="str">
        <x:f t="shared" si="9"/>
      </x:c>
      <x:c r="L306" s="181" t="str">
        <x:f>IF($C306="","",IFERROR(IF(INDEX(Catalogo!$H$5:$H$86,MATCH($C306,Catalogo!$A$5:$A$86,0))="","",INDEX(Catalogo!$H$5:$H$86,MATCH($C306,Catalogo!$A$5:$A$86,0))),""))</x:f>
      </x:c>
      <x:c r="M306" s="176" t="str">
        <x:f>IF(OR($B306="",$L306=""),"",IFERROR(IF(INDEX(Obras!$H$5:$H$19,MATCH($B306,Obras!$A$5:$A$19,0))="","",IF(INDEX(Obras!$H$5:$H$19,MATCH($B306,Obras!$A$5:$A$19,0))&gt;$L306,"VENCIDA",IF($L306-INDEX(Obras!$H$5:$H$19,MATCH($B306,Obras!$A$5:$A$19,0))&lt;=0.5,"VENCE EM ATÉ 6 MESES","VIGENTE"))),""))</x:f>
      </x:c>
      <x:c r="N306" s="268"/>
    </x:row>
    <x:row r="307" ht="30" customHeight="1">
      <x:c r="A307" s="176" t="str">
        <x:f>IF(OR($B307="",$C307=""),"","LC-"&amp;TEXT(303,"0000"))</x:f>
      </x:c>
      <x:c r="B307" s="259"/>
      <x:c r="C307" s="259"/>
      <x:c r="D307" s="271" t="str">
        <x:f>IF($B307="","",IFERROR(IF(INDEX(Obras!$G$5:$G$19,MATCH($B307,Obras!$A$5:$A$19,0))="","",INDEX(Obras!$G$5:$G$19,MATCH($B307,Obras!$A$5:$A$19,0))),""))</x:f>
      </x:c>
      <x:c r="E307" s="259"/>
      <x:c r="F307" s="268"/>
      <x:c r="G307" s="259"/>
      <x:c r="H307" s="259"/>
      <x:c r="I307" s="259"/>
      <x:c r="J307" s="181" t="str">
        <x:f t="shared" si="8"/>
      </x:c>
      <x:c r="K307" s="176" t="str">
        <x:f t="shared" si="9"/>
      </x:c>
      <x:c r="L307" s="181" t="str">
        <x:f>IF($C307="","",IFERROR(IF(INDEX(Catalogo!$H$5:$H$86,MATCH($C307,Catalogo!$A$5:$A$86,0))="","",INDEX(Catalogo!$H$5:$H$86,MATCH($C307,Catalogo!$A$5:$A$86,0))),""))</x:f>
      </x:c>
      <x:c r="M307" s="176" t="str">
        <x:f>IF(OR($B307="",$L307=""),"",IFERROR(IF(INDEX(Obras!$H$5:$H$19,MATCH($B307,Obras!$A$5:$A$19,0))="","",IF(INDEX(Obras!$H$5:$H$19,MATCH($B307,Obras!$A$5:$A$19,0))&gt;$L307,"VENCIDA",IF($L307-INDEX(Obras!$H$5:$H$19,MATCH($B307,Obras!$A$5:$A$19,0))&lt;=0.5,"VENCE EM ATÉ 6 MESES","VIGENTE"))),""))</x:f>
      </x:c>
      <x:c r="N307" s="268"/>
    </x:row>
    <x:row r="308" ht="30" customHeight="1">
      <x:c r="A308" s="176" t="str">
        <x:f>IF(OR($B308="",$C308=""),"","LC-"&amp;TEXT(304,"0000"))</x:f>
      </x:c>
      <x:c r="B308" s="259"/>
      <x:c r="C308" s="259"/>
      <x:c r="D308" s="271" t="str">
        <x:f>IF($B308="","",IFERROR(IF(INDEX(Obras!$G$5:$G$19,MATCH($B308,Obras!$A$5:$A$19,0))="","",INDEX(Obras!$G$5:$G$19,MATCH($B308,Obras!$A$5:$A$19,0))),""))</x:f>
      </x:c>
      <x:c r="E308" s="259"/>
      <x:c r="F308" s="268"/>
      <x:c r="G308" s="259"/>
      <x:c r="H308" s="259"/>
      <x:c r="I308" s="259"/>
      <x:c r="J308" s="181" t="str">
        <x:f t="shared" si="8"/>
      </x:c>
      <x:c r="K308" s="176" t="str">
        <x:f t="shared" si="9"/>
      </x:c>
      <x:c r="L308" s="181" t="str">
        <x:f>IF($C308="","",IFERROR(IF(INDEX(Catalogo!$H$5:$H$86,MATCH($C308,Catalogo!$A$5:$A$86,0))="","",INDEX(Catalogo!$H$5:$H$86,MATCH($C308,Catalogo!$A$5:$A$86,0))),""))</x:f>
      </x:c>
      <x:c r="M308" s="176" t="str">
        <x:f>IF(OR($B308="",$L308=""),"",IFERROR(IF(INDEX(Obras!$H$5:$H$19,MATCH($B308,Obras!$A$5:$A$19,0))="","",IF(INDEX(Obras!$H$5:$H$19,MATCH($B308,Obras!$A$5:$A$19,0))&gt;$L308,"VENCIDA",IF($L308-INDEX(Obras!$H$5:$H$19,MATCH($B308,Obras!$A$5:$A$19,0))&lt;=0.5,"VENCE EM ATÉ 6 MESES","VIGENTE"))),""))</x:f>
      </x:c>
      <x:c r="N308" s="268"/>
    </x:row>
    <x:row r="309" ht="30" customHeight="1">
      <x:c r="A309" s="176" t="str">
        <x:f>IF(OR($B309="",$C309=""),"","LC-"&amp;TEXT(305,"0000"))</x:f>
      </x:c>
      <x:c r="B309" s="259"/>
      <x:c r="C309" s="259"/>
      <x:c r="D309" s="271" t="str">
        <x:f>IF($B309="","",IFERROR(IF(INDEX(Obras!$G$5:$G$19,MATCH($B309,Obras!$A$5:$A$19,0))="","",INDEX(Obras!$G$5:$G$19,MATCH($B309,Obras!$A$5:$A$19,0))),""))</x:f>
      </x:c>
      <x:c r="E309" s="259"/>
      <x:c r="F309" s="268"/>
      <x:c r="G309" s="259"/>
      <x:c r="H309" s="259"/>
      <x:c r="I309" s="259"/>
      <x:c r="J309" s="181" t="str">
        <x:f t="shared" si="8"/>
      </x:c>
      <x:c r="K309" s="176" t="str">
        <x:f t="shared" si="9"/>
      </x:c>
      <x:c r="L309" s="181" t="str">
        <x:f>IF($C309="","",IFERROR(IF(INDEX(Catalogo!$H$5:$H$86,MATCH($C309,Catalogo!$A$5:$A$86,0))="","",INDEX(Catalogo!$H$5:$H$86,MATCH($C309,Catalogo!$A$5:$A$86,0))),""))</x:f>
      </x:c>
      <x:c r="M309" s="176" t="str">
        <x:f>IF(OR($B309="",$L309=""),"",IFERROR(IF(INDEX(Obras!$H$5:$H$19,MATCH($B309,Obras!$A$5:$A$19,0))="","",IF(INDEX(Obras!$H$5:$H$19,MATCH($B309,Obras!$A$5:$A$19,0))&gt;$L309,"VENCIDA",IF($L309-INDEX(Obras!$H$5:$H$19,MATCH($B309,Obras!$A$5:$A$19,0))&lt;=0.5,"VENCE EM ATÉ 6 MESES","VIGENTE"))),""))</x:f>
      </x:c>
      <x:c r="N309" s="268"/>
    </x:row>
    <x:row r="310" ht="30" customHeight="1">
      <x:c r="A310" s="176" t="str">
        <x:f>IF(OR($B310="",$C310=""),"","LC-"&amp;TEXT(306,"0000"))</x:f>
      </x:c>
      <x:c r="B310" s="259"/>
      <x:c r="C310" s="259"/>
      <x:c r="D310" s="271" t="str">
        <x:f>IF($B310="","",IFERROR(IF(INDEX(Obras!$G$5:$G$19,MATCH($B310,Obras!$A$5:$A$19,0))="","",INDEX(Obras!$G$5:$G$19,MATCH($B310,Obras!$A$5:$A$19,0))),""))</x:f>
      </x:c>
      <x:c r="E310" s="259"/>
      <x:c r="F310" s="268"/>
      <x:c r="G310" s="259"/>
      <x:c r="H310" s="259"/>
      <x:c r="I310" s="259"/>
      <x:c r="J310" s="181" t="str">
        <x:f t="shared" si="8"/>
      </x:c>
      <x:c r="K310" s="176" t="str">
        <x:f t="shared" si="9"/>
      </x:c>
      <x:c r="L310" s="181" t="str">
        <x:f>IF($C310="","",IFERROR(IF(INDEX(Catalogo!$H$5:$H$86,MATCH($C310,Catalogo!$A$5:$A$86,0))="","",INDEX(Catalogo!$H$5:$H$86,MATCH($C310,Catalogo!$A$5:$A$86,0))),""))</x:f>
      </x:c>
      <x:c r="M310" s="176" t="str">
        <x:f>IF(OR($B310="",$L310=""),"",IFERROR(IF(INDEX(Obras!$H$5:$H$19,MATCH($B310,Obras!$A$5:$A$19,0))="","",IF(INDEX(Obras!$H$5:$H$19,MATCH($B310,Obras!$A$5:$A$19,0))&gt;$L310,"VENCIDA",IF($L310-INDEX(Obras!$H$5:$H$19,MATCH($B310,Obras!$A$5:$A$19,0))&lt;=0.5,"VENCE EM ATÉ 6 MESES","VIGENTE"))),""))</x:f>
      </x:c>
      <x:c r="N310" s="268"/>
    </x:row>
    <x:row r="311" ht="30" customHeight="1">
      <x:c r="A311" s="176" t="str">
        <x:f>IF(OR($B311="",$C311=""),"","LC-"&amp;TEXT(307,"0000"))</x:f>
      </x:c>
      <x:c r="B311" s="259"/>
      <x:c r="C311" s="259"/>
      <x:c r="D311" s="271" t="str">
        <x:f>IF($B311="","",IFERROR(IF(INDEX(Obras!$G$5:$G$19,MATCH($B311,Obras!$A$5:$A$19,0))="","",INDEX(Obras!$G$5:$G$19,MATCH($B311,Obras!$A$5:$A$19,0))),""))</x:f>
      </x:c>
      <x:c r="E311" s="259"/>
      <x:c r="F311" s="268"/>
      <x:c r="G311" s="259"/>
      <x:c r="H311" s="259"/>
      <x:c r="I311" s="259"/>
      <x:c r="J311" s="181" t="str">
        <x:f t="shared" si="8"/>
      </x:c>
      <x:c r="K311" s="176" t="str">
        <x:f t="shared" si="9"/>
      </x:c>
      <x:c r="L311" s="181" t="str">
        <x:f>IF($C311="","",IFERROR(IF(INDEX(Catalogo!$H$5:$H$86,MATCH($C311,Catalogo!$A$5:$A$86,0))="","",INDEX(Catalogo!$H$5:$H$86,MATCH($C311,Catalogo!$A$5:$A$86,0))),""))</x:f>
      </x:c>
      <x:c r="M311" s="176" t="str">
        <x:f>IF(OR($B311="",$L311=""),"",IFERROR(IF(INDEX(Obras!$H$5:$H$19,MATCH($B311,Obras!$A$5:$A$19,0))="","",IF(INDEX(Obras!$H$5:$H$19,MATCH($B311,Obras!$A$5:$A$19,0))&gt;$L311,"VENCIDA",IF($L311-INDEX(Obras!$H$5:$H$19,MATCH($B311,Obras!$A$5:$A$19,0))&lt;=0.5,"VENCE EM ATÉ 6 MESES","VIGENTE"))),""))</x:f>
      </x:c>
      <x:c r="N311" s="268"/>
    </x:row>
    <x:row r="312" ht="30" customHeight="1">
      <x:c r="A312" s="176" t="str">
        <x:f>IF(OR($B312="",$C312=""),"","LC-"&amp;TEXT(308,"0000"))</x:f>
      </x:c>
      <x:c r="B312" s="259"/>
      <x:c r="C312" s="259"/>
      <x:c r="D312" s="271" t="str">
        <x:f>IF($B312="","",IFERROR(IF(INDEX(Obras!$G$5:$G$19,MATCH($B312,Obras!$A$5:$A$19,0))="","",INDEX(Obras!$G$5:$G$19,MATCH($B312,Obras!$A$5:$A$19,0))),""))</x:f>
      </x:c>
      <x:c r="E312" s="259"/>
      <x:c r="F312" s="268"/>
      <x:c r="G312" s="259"/>
      <x:c r="H312" s="259"/>
      <x:c r="I312" s="259"/>
      <x:c r="J312" s="181" t="str">
        <x:f t="shared" si="8"/>
      </x:c>
      <x:c r="K312" s="176" t="str">
        <x:f t="shared" si="9"/>
      </x:c>
      <x:c r="L312" s="181" t="str">
        <x:f>IF($C312="","",IFERROR(IF(INDEX(Catalogo!$H$5:$H$86,MATCH($C312,Catalogo!$A$5:$A$86,0))="","",INDEX(Catalogo!$H$5:$H$86,MATCH($C312,Catalogo!$A$5:$A$86,0))),""))</x:f>
      </x:c>
      <x:c r="M312" s="176" t="str">
        <x:f>IF(OR($B312="",$L312=""),"",IFERROR(IF(INDEX(Obras!$H$5:$H$19,MATCH($B312,Obras!$A$5:$A$19,0))="","",IF(INDEX(Obras!$H$5:$H$19,MATCH($B312,Obras!$A$5:$A$19,0))&gt;$L312,"VENCIDA",IF($L312-INDEX(Obras!$H$5:$H$19,MATCH($B312,Obras!$A$5:$A$19,0))&lt;=0.5,"VENCE EM ATÉ 6 MESES","VIGENTE"))),""))</x:f>
      </x:c>
      <x:c r="N312" s="268"/>
    </x:row>
    <x:row r="313" ht="30" customHeight="1">
      <x:c r="A313" s="176" t="str">
        <x:f>IF(OR($B313="",$C313=""),"","LC-"&amp;TEXT(309,"0000"))</x:f>
      </x:c>
      <x:c r="B313" s="259"/>
      <x:c r="C313" s="259"/>
      <x:c r="D313" s="271" t="str">
        <x:f>IF($B313="","",IFERROR(IF(INDEX(Obras!$G$5:$G$19,MATCH($B313,Obras!$A$5:$A$19,0))="","",INDEX(Obras!$G$5:$G$19,MATCH($B313,Obras!$A$5:$A$19,0))),""))</x:f>
      </x:c>
      <x:c r="E313" s="259"/>
      <x:c r="F313" s="268"/>
      <x:c r="G313" s="259"/>
      <x:c r="H313" s="259"/>
      <x:c r="I313" s="259"/>
      <x:c r="J313" s="181" t="str">
        <x:f t="shared" si="8"/>
      </x:c>
      <x:c r="K313" s="176" t="str">
        <x:f t="shared" si="9"/>
      </x:c>
      <x:c r="L313" s="181" t="str">
        <x:f>IF($C313="","",IFERROR(IF(INDEX(Catalogo!$H$5:$H$86,MATCH($C313,Catalogo!$A$5:$A$86,0))="","",INDEX(Catalogo!$H$5:$H$86,MATCH($C313,Catalogo!$A$5:$A$86,0))),""))</x:f>
      </x:c>
      <x:c r="M313" s="176" t="str">
        <x:f>IF(OR($B313="",$L313=""),"",IFERROR(IF(INDEX(Obras!$H$5:$H$19,MATCH($B313,Obras!$A$5:$A$19,0))="","",IF(INDEX(Obras!$H$5:$H$19,MATCH($B313,Obras!$A$5:$A$19,0))&gt;$L313,"VENCIDA",IF($L313-INDEX(Obras!$H$5:$H$19,MATCH($B313,Obras!$A$5:$A$19,0))&lt;=0.5,"VENCE EM ATÉ 6 MESES","VIGENTE"))),""))</x:f>
      </x:c>
      <x:c r="N313" s="268"/>
    </x:row>
    <x:row r="314" ht="30" customHeight="1">
      <x:c r="A314" s="176" t="str">
        <x:f>IF(OR($B314="",$C314=""),"","LC-"&amp;TEXT(310,"0000"))</x:f>
      </x:c>
      <x:c r="B314" s="259"/>
      <x:c r="C314" s="259"/>
      <x:c r="D314" s="271" t="str">
        <x:f>IF($B314="","",IFERROR(IF(INDEX(Obras!$G$5:$G$19,MATCH($B314,Obras!$A$5:$A$19,0))="","",INDEX(Obras!$G$5:$G$19,MATCH($B314,Obras!$A$5:$A$19,0))),""))</x:f>
      </x:c>
      <x:c r="E314" s="259"/>
      <x:c r="F314" s="268"/>
      <x:c r="G314" s="259"/>
      <x:c r="H314" s="259"/>
      <x:c r="I314" s="259"/>
      <x:c r="J314" s="181" t="str">
        <x:f t="shared" si="8"/>
      </x:c>
      <x:c r="K314" s="176" t="str">
        <x:f t="shared" si="9"/>
      </x:c>
      <x:c r="L314" s="181" t="str">
        <x:f>IF($C314="","",IFERROR(IF(INDEX(Catalogo!$H$5:$H$86,MATCH($C314,Catalogo!$A$5:$A$86,0))="","",INDEX(Catalogo!$H$5:$H$86,MATCH($C314,Catalogo!$A$5:$A$86,0))),""))</x:f>
      </x:c>
      <x:c r="M314" s="176" t="str">
        <x:f>IF(OR($B314="",$L314=""),"",IFERROR(IF(INDEX(Obras!$H$5:$H$19,MATCH($B314,Obras!$A$5:$A$19,0))="","",IF(INDEX(Obras!$H$5:$H$19,MATCH($B314,Obras!$A$5:$A$19,0))&gt;$L314,"VENCIDA",IF($L314-INDEX(Obras!$H$5:$H$19,MATCH($B314,Obras!$A$5:$A$19,0))&lt;=0.5,"VENCE EM ATÉ 6 MESES","VIGENTE"))),""))</x:f>
      </x:c>
      <x:c r="N314" s="268"/>
    </x:row>
    <x:row r="315" ht="30" customHeight="1">
      <x:c r="A315" s="176" t="str">
        <x:f>IF(OR($B315="",$C315=""),"","LC-"&amp;TEXT(311,"0000"))</x:f>
      </x:c>
      <x:c r="B315" s="259"/>
      <x:c r="C315" s="259"/>
      <x:c r="D315" s="271" t="str">
        <x:f>IF($B315="","",IFERROR(IF(INDEX(Obras!$G$5:$G$19,MATCH($B315,Obras!$A$5:$A$19,0))="","",INDEX(Obras!$G$5:$G$19,MATCH($B315,Obras!$A$5:$A$19,0))),""))</x:f>
      </x:c>
      <x:c r="E315" s="259"/>
      <x:c r="F315" s="268"/>
      <x:c r="G315" s="259"/>
      <x:c r="H315" s="259"/>
      <x:c r="I315" s="259"/>
      <x:c r="J315" s="181" t="str">
        <x:f t="shared" si="8"/>
      </x:c>
      <x:c r="K315" s="176" t="str">
        <x:f t="shared" si="9"/>
      </x:c>
      <x:c r="L315" s="181" t="str">
        <x:f>IF($C315="","",IFERROR(IF(INDEX(Catalogo!$H$5:$H$86,MATCH($C315,Catalogo!$A$5:$A$86,0))="","",INDEX(Catalogo!$H$5:$H$86,MATCH($C315,Catalogo!$A$5:$A$86,0))),""))</x:f>
      </x:c>
      <x:c r="M315" s="176" t="str">
        <x:f>IF(OR($B315="",$L315=""),"",IFERROR(IF(INDEX(Obras!$H$5:$H$19,MATCH($B315,Obras!$A$5:$A$19,0))="","",IF(INDEX(Obras!$H$5:$H$19,MATCH($B315,Obras!$A$5:$A$19,0))&gt;$L315,"VENCIDA",IF($L315-INDEX(Obras!$H$5:$H$19,MATCH($B315,Obras!$A$5:$A$19,0))&lt;=0.5,"VENCE EM ATÉ 6 MESES","VIGENTE"))),""))</x:f>
      </x:c>
      <x:c r="N315" s="268"/>
    </x:row>
    <x:row r="316" ht="30" customHeight="1">
      <x:c r="A316" s="176" t="str">
        <x:f>IF(OR($B316="",$C316=""),"","LC-"&amp;TEXT(312,"0000"))</x:f>
      </x:c>
      <x:c r="B316" s="259"/>
      <x:c r="C316" s="259"/>
      <x:c r="D316" s="271" t="str">
        <x:f>IF($B316="","",IFERROR(IF(INDEX(Obras!$G$5:$G$19,MATCH($B316,Obras!$A$5:$A$19,0))="","",INDEX(Obras!$G$5:$G$19,MATCH($B316,Obras!$A$5:$A$19,0))),""))</x:f>
      </x:c>
      <x:c r="E316" s="259"/>
      <x:c r="F316" s="268"/>
      <x:c r="G316" s="259"/>
      <x:c r="H316" s="259"/>
      <x:c r="I316" s="259"/>
      <x:c r="J316" s="181" t="str">
        <x:f t="shared" si="8"/>
      </x:c>
      <x:c r="K316" s="176" t="str">
        <x:f t="shared" si="9"/>
      </x:c>
      <x:c r="L316" s="181" t="str">
        <x:f>IF($C316="","",IFERROR(IF(INDEX(Catalogo!$H$5:$H$86,MATCH($C316,Catalogo!$A$5:$A$86,0))="","",INDEX(Catalogo!$H$5:$H$86,MATCH($C316,Catalogo!$A$5:$A$86,0))),""))</x:f>
      </x:c>
      <x:c r="M316" s="176" t="str">
        <x:f>IF(OR($B316="",$L316=""),"",IFERROR(IF(INDEX(Obras!$H$5:$H$19,MATCH($B316,Obras!$A$5:$A$19,0))="","",IF(INDEX(Obras!$H$5:$H$19,MATCH($B316,Obras!$A$5:$A$19,0))&gt;$L316,"VENCIDA",IF($L316-INDEX(Obras!$H$5:$H$19,MATCH($B316,Obras!$A$5:$A$19,0))&lt;=0.5,"VENCE EM ATÉ 6 MESES","VIGENTE"))),""))</x:f>
      </x:c>
      <x:c r="N316" s="268"/>
    </x:row>
    <x:row r="317" ht="30" customHeight="1">
      <x:c r="A317" s="176" t="str">
        <x:f>IF(OR($B317="",$C317=""),"","LC-"&amp;TEXT(313,"0000"))</x:f>
      </x:c>
      <x:c r="B317" s="259"/>
      <x:c r="C317" s="259"/>
      <x:c r="D317" s="271" t="str">
        <x:f>IF($B317="","",IFERROR(IF(INDEX(Obras!$G$5:$G$19,MATCH($B317,Obras!$A$5:$A$19,0))="","",INDEX(Obras!$G$5:$G$19,MATCH($B317,Obras!$A$5:$A$19,0))),""))</x:f>
      </x:c>
      <x:c r="E317" s="259"/>
      <x:c r="F317" s="268"/>
      <x:c r="G317" s="259"/>
      <x:c r="H317" s="259"/>
      <x:c r="I317" s="259"/>
      <x:c r="J317" s="181" t="str">
        <x:f t="shared" si="8"/>
      </x:c>
      <x:c r="K317" s="176" t="str">
        <x:f t="shared" si="9"/>
      </x:c>
      <x:c r="L317" s="181" t="str">
        <x:f>IF($C317="","",IFERROR(IF(INDEX(Catalogo!$H$5:$H$86,MATCH($C317,Catalogo!$A$5:$A$86,0))="","",INDEX(Catalogo!$H$5:$H$86,MATCH($C317,Catalogo!$A$5:$A$86,0))),""))</x:f>
      </x:c>
      <x:c r="M317" s="176" t="str">
        <x:f>IF(OR($B317="",$L317=""),"",IFERROR(IF(INDEX(Obras!$H$5:$H$19,MATCH($B317,Obras!$A$5:$A$19,0))="","",IF(INDEX(Obras!$H$5:$H$19,MATCH($B317,Obras!$A$5:$A$19,0))&gt;$L317,"VENCIDA",IF($L317-INDEX(Obras!$H$5:$H$19,MATCH($B317,Obras!$A$5:$A$19,0))&lt;=0.5,"VENCE EM ATÉ 6 MESES","VIGENTE"))),""))</x:f>
      </x:c>
      <x:c r="N317" s="268"/>
    </x:row>
    <x:row r="318" ht="30" customHeight="1">
      <x:c r="A318" s="176" t="str">
        <x:f>IF(OR($B318="",$C318=""),"","LC-"&amp;TEXT(314,"0000"))</x:f>
      </x:c>
      <x:c r="B318" s="259"/>
      <x:c r="C318" s="259"/>
      <x:c r="D318" s="271" t="str">
        <x:f>IF($B318="","",IFERROR(IF(INDEX(Obras!$G$5:$G$19,MATCH($B318,Obras!$A$5:$A$19,0))="","",INDEX(Obras!$G$5:$G$19,MATCH($B318,Obras!$A$5:$A$19,0))),""))</x:f>
      </x:c>
      <x:c r="E318" s="259"/>
      <x:c r="F318" s="268"/>
      <x:c r="G318" s="259"/>
      <x:c r="H318" s="259"/>
      <x:c r="I318" s="259"/>
      <x:c r="J318" s="181" t="str">
        <x:f t="shared" si="8"/>
      </x:c>
      <x:c r="K318" s="176" t="str">
        <x:f t="shared" si="9"/>
      </x:c>
      <x:c r="L318" s="181" t="str">
        <x:f>IF($C318="","",IFERROR(IF(INDEX(Catalogo!$H$5:$H$86,MATCH($C318,Catalogo!$A$5:$A$86,0))="","",INDEX(Catalogo!$H$5:$H$86,MATCH($C318,Catalogo!$A$5:$A$86,0))),""))</x:f>
      </x:c>
      <x:c r="M318" s="176" t="str">
        <x:f>IF(OR($B318="",$L318=""),"",IFERROR(IF(INDEX(Obras!$H$5:$H$19,MATCH($B318,Obras!$A$5:$A$19,0))="","",IF(INDEX(Obras!$H$5:$H$19,MATCH($B318,Obras!$A$5:$A$19,0))&gt;$L318,"VENCIDA",IF($L318-INDEX(Obras!$H$5:$H$19,MATCH($B318,Obras!$A$5:$A$19,0))&lt;=0.5,"VENCE EM ATÉ 6 MESES","VIGENTE"))),""))</x:f>
      </x:c>
      <x:c r="N318" s="268"/>
    </x:row>
    <x:row r="319" ht="30" customHeight="1">
      <x:c r="A319" s="176" t="str">
        <x:f>IF(OR($B319="",$C319=""),"","LC-"&amp;TEXT(315,"0000"))</x:f>
      </x:c>
      <x:c r="B319" s="259"/>
      <x:c r="C319" s="259"/>
      <x:c r="D319" s="271" t="str">
        <x:f>IF($B319="","",IFERROR(IF(INDEX(Obras!$G$5:$G$19,MATCH($B319,Obras!$A$5:$A$19,0))="","",INDEX(Obras!$G$5:$G$19,MATCH($B319,Obras!$A$5:$A$19,0))),""))</x:f>
      </x:c>
      <x:c r="E319" s="259"/>
      <x:c r="F319" s="268"/>
      <x:c r="G319" s="259"/>
      <x:c r="H319" s="259"/>
      <x:c r="I319" s="259"/>
      <x:c r="J319" s="181" t="str">
        <x:f t="shared" si="8"/>
      </x:c>
      <x:c r="K319" s="176" t="str">
        <x:f t="shared" si="9"/>
      </x:c>
      <x:c r="L319" s="181" t="str">
        <x:f>IF($C319="","",IFERROR(IF(INDEX(Catalogo!$H$5:$H$86,MATCH($C319,Catalogo!$A$5:$A$86,0))="","",INDEX(Catalogo!$H$5:$H$86,MATCH($C319,Catalogo!$A$5:$A$86,0))),""))</x:f>
      </x:c>
      <x:c r="M319" s="176" t="str">
        <x:f>IF(OR($B319="",$L319=""),"",IFERROR(IF(INDEX(Obras!$H$5:$H$19,MATCH($B319,Obras!$A$5:$A$19,0))="","",IF(INDEX(Obras!$H$5:$H$19,MATCH($B319,Obras!$A$5:$A$19,0))&gt;$L319,"VENCIDA",IF($L319-INDEX(Obras!$H$5:$H$19,MATCH($B319,Obras!$A$5:$A$19,0))&lt;=0.5,"VENCE EM ATÉ 6 MESES","VIGENTE"))),""))</x:f>
      </x:c>
      <x:c r="N319" s="268"/>
    </x:row>
    <x:row r="320" ht="30" customHeight="1">
      <x:c r="A320" s="176" t="str">
        <x:f>IF(OR($B320="",$C320=""),"","LC-"&amp;TEXT(316,"0000"))</x:f>
      </x:c>
      <x:c r="B320" s="259"/>
      <x:c r="C320" s="259"/>
      <x:c r="D320" s="271" t="str">
        <x:f>IF($B320="","",IFERROR(IF(INDEX(Obras!$G$5:$G$19,MATCH($B320,Obras!$A$5:$A$19,0))="","",INDEX(Obras!$G$5:$G$19,MATCH($B320,Obras!$A$5:$A$19,0))),""))</x:f>
      </x:c>
      <x:c r="E320" s="259"/>
      <x:c r="F320" s="268"/>
      <x:c r="G320" s="259"/>
      <x:c r="H320" s="259"/>
      <x:c r="I320" s="259"/>
      <x:c r="J320" s="181" t="str">
        <x:f t="shared" si="8"/>
      </x:c>
      <x:c r="K320" s="176" t="str">
        <x:f t="shared" si="9"/>
      </x:c>
      <x:c r="L320" s="181" t="str">
        <x:f>IF($C320="","",IFERROR(IF(INDEX(Catalogo!$H$5:$H$86,MATCH($C320,Catalogo!$A$5:$A$86,0))="","",INDEX(Catalogo!$H$5:$H$86,MATCH($C320,Catalogo!$A$5:$A$86,0))),""))</x:f>
      </x:c>
      <x:c r="M320" s="176" t="str">
        <x:f>IF(OR($B320="",$L320=""),"",IFERROR(IF(INDEX(Obras!$H$5:$H$19,MATCH($B320,Obras!$A$5:$A$19,0))="","",IF(INDEX(Obras!$H$5:$H$19,MATCH($B320,Obras!$A$5:$A$19,0))&gt;$L320,"VENCIDA",IF($L320-INDEX(Obras!$H$5:$H$19,MATCH($B320,Obras!$A$5:$A$19,0))&lt;=0.5,"VENCE EM ATÉ 6 MESES","VIGENTE"))),""))</x:f>
      </x:c>
      <x:c r="N320" s="268"/>
    </x:row>
    <x:row r="321" ht="30" customHeight="1">
      <x:c r="A321" s="176" t="str">
        <x:f>IF(OR($B321="",$C321=""),"","LC-"&amp;TEXT(317,"0000"))</x:f>
      </x:c>
      <x:c r="B321" s="259"/>
      <x:c r="C321" s="259"/>
      <x:c r="D321" s="271" t="str">
        <x:f>IF($B321="","",IFERROR(IF(INDEX(Obras!$G$5:$G$19,MATCH($B321,Obras!$A$5:$A$19,0))="","",INDEX(Obras!$G$5:$G$19,MATCH($B321,Obras!$A$5:$A$19,0))),""))</x:f>
      </x:c>
      <x:c r="E321" s="259"/>
      <x:c r="F321" s="268"/>
      <x:c r="G321" s="259"/>
      <x:c r="H321" s="259"/>
      <x:c r="I321" s="259"/>
      <x:c r="J321" s="181" t="str">
        <x:f t="shared" si="8"/>
      </x:c>
      <x:c r="K321" s="176" t="str">
        <x:f t="shared" si="9"/>
      </x:c>
      <x:c r="L321" s="181" t="str">
        <x:f>IF($C321="","",IFERROR(IF(INDEX(Catalogo!$H$5:$H$86,MATCH($C321,Catalogo!$A$5:$A$86,0))="","",INDEX(Catalogo!$H$5:$H$86,MATCH($C321,Catalogo!$A$5:$A$86,0))),""))</x:f>
      </x:c>
      <x:c r="M321" s="176" t="str">
        <x:f>IF(OR($B321="",$L321=""),"",IFERROR(IF(INDEX(Obras!$H$5:$H$19,MATCH($B321,Obras!$A$5:$A$19,0))="","",IF(INDEX(Obras!$H$5:$H$19,MATCH($B321,Obras!$A$5:$A$19,0))&gt;$L321,"VENCIDA",IF($L321-INDEX(Obras!$H$5:$H$19,MATCH($B321,Obras!$A$5:$A$19,0))&lt;=0.5,"VENCE EM ATÉ 6 MESES","VIGENTE"))),""))</x:f>
      </x:c>
      <x:c r="N321" s="268"/>
    </x:row>
    <x:row r="322" ht="30" customHeight="1">
      <x:c r="A322" s="176" t="str">
        <x:f>IF(OR($B322="",$C322=""),"","LC-"&amp;TEXT(318,"0000"))</x:f>
      </x:c>
      <x:c r="B322" s="259"/>
      <x:c r="C322" s="259"/>
      <x:c r="D322" s="271" t="str">
        <x:f>IF($B322="","",IFERROR(IF(INDEX(Obras!$G$5:$G$19,MATCH($B322,Obras!$A$5:$A$19,0))="","",INDEX(Obras!$G$5:$G$19,MATCH($B322,Obras!$A$5:$A$19,0))),""))</x:f>
      </x:c>
      <x:c r="E322" s="259"/>
      <x:c r="F322" s="268"/>
      <x:c r="G322" s="259"/>
      <x:c r="H322" s="259"/>
      <x:c r="I322" s="259"/>
      <x:c r="J322" s="181" t="str">
        <x:f t="shared" si="8"/>
      </x:c>
      <x:c r="K322" s="176" t="str">
        <x:f t="shared" si="9"/>
      </x:c>
      <x:c r="L322" s="181" t="str">
        <x:f>IF($C322="","",IFERROR(IF(INDEX(Catalogo!$H$5:$H$86,MATCH($C322,Catalogo!$A$5:$A$86,0))="","",INDEX(Catalogo!$H$5:$H$86,MATCH($C322,Catalogo!$A$5:$A$86,0))),""))</x:f>
      </x:c>
      <x:c r="M322" s="176" t="str">
        <x:f>IF(OR($B322="",$L322=""),"",IFERROR(IF(INDEX(Obras!$H$5:$H$19,MATCH($B322,Obras!$A$5:$A$19,0))="","",IF(INDEX(Obras!$H$5:$H$19,MATCH($B322,Obras!$A$5:$A$19,0))&gt;$L322,"VENCIDA",IF($L322-INDEX(Obras!$H$5:$H$19,MATCH($B322,Obras!$A$5:$A$19,0))&lt;=0.5,"VENCE EM ATÉ 6 MESES","VIGENTE"))),""))</x:f>
      </x:c>
      <x:c r="N322" s="268"/>
    </x:row>
    <x:row r="323" ht="30" customHeight="1">
      <x:c r="A323" s="176" t="str">
        <x:f>IF(OR($B323="",$C323=""),"","LC-"&amp;TEXT(319,"0000"))</x:f>
      </x:c>
      <x:c r="B323" s="259"/>
      <x:c r="C323" s="259"/>
      <x:c r="D323" s="271" t="str">
        <x:f>IF($B323="","",IFERROR(IF(INDEX(Obras!$G$5:$G$19,MATCH($B323,Obras!$A$5:$A$19,0))="","",INDEX(Obras!$G$5:$G$19,MATCH($B323,Obras!$A$5:$A$19,0))),""))</x:f>
      </x:c>
      <x:c r="E323" s="259"/>
      <x:c r="F323" s="268"/>
      <x:c r="G323" s="259"/>
      <x:c r="H323" s="259"/>
      <x:c r="I323" s="259"/>
      <x:c r="J323" s="181" t="str">
        <x:f t="shared" si="8"/>
      </x:c>
      <x:c r="K323" s="176" t="str">
        <x:f t="shared" si="9"/>
      </x:c>
      <x:c r="L323" s="181" t="str">
        <x:f>IF($C323="","",IFERROR(IF(INDEX(Catalogo!$H$5:$H$86,MATCH($C323,Catalogo!$A$5:$A$86,0))="","",INDEX(Catalogo!$H$5:$H$86,MATCH($C323,Catalogo!$A$5:$A$86,0))),""))</x:f>
      </x:c>
      <x:c r="M323" s="176" t="str">
        <x:f>IF(OR($B323="",$L323=""),"",IFERROR(IF(INDEX(Obras!$H$5:$H$19,MATCH($B323,Obras!$A$5:$A$19,0))="","",IF(INDEX(Obras!$H$5:$H$19,MATCH($B323,Obras!$A$5:$A$19,0))&gt;$L323,"VENCIDA",IF($L323-INDEX(Obras!$H$5:$H$19,MATCH($B323,Obras!$A$5:$A$19,0))&lt;=0.5,"VENCE EM ATÉ 6 MESES","VIGENTE"))),""))</x:f>
      </x:c>
      <x:c r="N323" s="268"/>
    </x:row>
    <x:row r="324" ht="30" customHeight="1">
      <x:c r="A324" s="176" t="str">
        <x:f>IF(OR($B324="",$C324=""),"","LC-"&amp;TEXT(320,"0000"))</x:f>
      </x:c>
      <x:c r="B324" s="259"/>
      <x:c r="C324" s="259"/>
      <x:c r="D324" s="271" t="str">
        <x:f>IF($B324="","",IFERROR(IF(INDEX(Obras!$G$5:$G$19,MATCH($B324,Obras!$A$5:$A$19,0))="","",INDEX(Obras!$G$5:$G$19,MATCH($B324,Obras!$A$5:$A$19,0))),""))</x:f>
      </x:c>
      <x:c r="E324" s="259"/>
      <x:c r="F324" s="268"/>
      <x:c r="G324" s="259"/>
      <x:c r="H324" s="259"/>
      <x:c r="I324" s="259"/>
      <x:c r="J324" s="181" t="str">
        <x:f t="shared" si="8"/>
      </x:c>
      <x:c r="K324" s="176" t="str">
        <x:f t="shared" si="9"/>
      </x:c>
      <x:c r="L324" s="181" t="str">
        <x:f>IF($C324="","",IFERROR(IF(INDEX(Catalogo!$H$5:$H$86,MATCH($C324,Catalogo!$A$5:$A$86,0))="","",INDEX(Catalogo!$H$5:$H$86,MATCH($C324,Catalogo!$A$5:$A$86,0))),""))</x:f>
      </x:c>
      <x:c r="M324" s="176" t="str">
        <x:f>IF(OR($B324="",$L324=""),"",IFERROR(IF(INDEX(Obras!$H$5:$H$19,MATCH($B324,Obras!$A$5:$A$19,0))="","",IF(INDEX(Obras!$H$5:$H$19,MATCH($B324,Obras!$A$5:$A$19,0))&gt;$L324,"VENCIDA",IF($L324-INDEX(Obras!$H$5:$H$19,MATCH($B324,Obras!$A$5:$A$19,0))&lt;=0.5,"VENCE EM ATÉ 6 MESES","VIGENTE"))),""))</x:f>
      </x:c>
      <x:c r="N324" s="268"/>
    </x:row>
    <x:row r="325" ht="30" customHeight="1">
      <x:c r="A325" s="176" t="str">
        <x:f>IF(OR($B325="",$C325=""),"","LC-"&amp;TEXT(321,"0000"))</x:f>
      </x:c>
      <x:c r="B325" s="259"/>
      <x:c r="C325" s="259"/>
      <x:c r="D325" s="271" t="str">
        <x:f>IF($B325="","",IFERROR(IF(INDEX(Obras!$G$5:$G$19,MATCH($B325,Obras!$A$5:$A$19,0))="","",INDEX(Obras!$G$5:$G$19,MATCH($B325,Obras!$A$5:$A$19,0))),""))</x:f>
      </x:c>
      <x:c r="E325" s="259"/>
      <x:c r="F325" s="268"/>
      <x:c r="G325" s="259"/>
      <x:c r="H325" s="259"/>
      <x:c r="I325" s="259"/>
      <x:c r="J325" s="181" t="str">
        <x:f t="shared" ref="J325:J388" si="10">IF(COUNT($G325:$I325)=3,$G325*$H325*$I325,"")</x:f>
      </x:c>
      <x:c r="K325" s="176" t="str">
        <x:f t="shared" ref="K325:K388" si="11">IF($J325="","",IF($J325&gt;=512,"Prioridade 1",IF($J325&gt;=108,"Prioridade 2","Prioridade 3")))</x:f>
      </x:c>
      <x:c r="L325" s="181" t="str">
        <x:f>IF($C325="","",IFERROR(IF(INDEX(Catalogo!$H$5:$H$86,MATCH($C325,Catalogo!$A$5:$A$86,0))="","",INDEX(Catalogo!$H$5:$H$86,MATCH($C325,Catalogo!$A$5:$A$86,0))),""))</x:f>
      </x:c>
      <x:c r="M325" s="176" t="str">
        <x:f>IF(OR($B325="",$L325=""),"",IFERROR(IF(INDEX(Obras!$H$5:$H$19,MATCH($B325,Obras!$A$5:$A$19,0))="","",IF(INDEX(Obras!$H$5:$H$19,MATCH($B325,Obras!$A$5:$A$19,0))&gt;$L325,"VENCIDA",IF($L325-INDEX(Obras!$H$5:$H$19,MATCH($B325,Obras!$A$5:$A$19,0))&lt;=0.5,"VENCE EM ATÉ 6 MESES","VIGENTE"))),""))</x:f>
      </x:c>
      <x:c r="N325" s="268"/>
    </x:row>
    <x:row r="326" ht="30" customHeight="1">
      <x:c r="A326" s="176" t="str">
        <x:f>IF(OR($B326="",$C326=""),"","LC-"&amp;TEXT(322,"0000"))</x:f>
      </x:c>
      <x:c r="B326" s="259"/>
      <x:c r="C326" s="259"/>
      <x:c r="D326" s="271" t="str">
        <x:f>IF($B326="","",IFERROR(IF(INDEX(Obras!$G$5:$G$19,MATCH($B326,Obras!$A$5:$A$19,0))="","",INDEX(Obras!$G$5:$G$19,MATCH($B326,Obras!$A$5:$A$19,0))),""))</x:f>
      </x:c>
      <x:c r="E326" s="259"/>
      <x:c r="F326" s="268"/>
      <x:c r="G326" s="259"/>
      <x:c r="H326" s="259"/>
      <x:c r="I326" s="259"/>
      <x:c r="J326" s="181" t="str">
        <x:f t="shared" si="10"/>
      </x:c>
      <x:c r="K326" s="176" t="str">
        <x:f t="shared" si="11"/>
      </x:c>
      <x:c r="L326" s="181" t="str">
        <x:f>IF($C326="","",IFERROR(IF(INDEX(Catalogo!$H$5:$H$86,MATCH($C326,Catalogo!$A$5:$A$86,0))="","",INDEX(Catalogo!$H$5:$H$86,MATCH($C326,Catalogo!$A$5:$A$86,0))),""))</x:f>
      </x:c>
      <x:c r="M326" s="176" t="str">
        <x:f>IF(OR($B326="",$L326=""),"",IFERROR(IF(INDEX(Obras!$H$5:$H$19,MATCH($B326,Obras!$A$5:$A$19,0))="","",IF(INDEX(Obras!$H$5:$H$19,MATCH($B326,Obras!$A$5:$A$19,0))&gt;$L326,"VENCIDA",IF($L326-INDEX(Obras!$H$5:$H$19,MATCH($B326,Obras!$A$5:$A$19,0))&lt;=0.5,"VENCE EM ATÉ 6 MESES","VIGENTE"))),""))</x:f>
      </x:c>
      <x:c r="N326" s="268"/>
    </x:row>
    <x:row r="327" ht="30" customHeight="1">
      <x:c r="A327" s="176" t="str">
        <x:f>IF(OR($B327="",$C327=""),"","LC-"&amp;TEXT(323,"0000"))</x:f>
      </x:c>
      <x:c r="B327" s="259"/>
      <x:c r="C327" s="259"/>
      <x:c r="D327" s="271" t="str">
        <x:f>IF($B327="","",IFERROR(IF(INDEX(Obras!$G$5:$G$19,MATCH($B327,Obras!$A$5:$A$19,0))="","",INDEX(Obras!$G$5:$G$19,MATCH($B327,Obras!$A$5:$A$19,0))),""))</x:f>
      </x:c>
      <x:c r="E327" s="259"/>
      <x:c r="F327" s="268"/>
      <x:c r="G327" s="259"/>
      <x:c r="H327" s="259"/>
      <x:c r="I327" s="259"/>
      <x:c r="J327" s="181" t="str">
        <x:f t="shared" si="10"/>
      </x:c>
      <x:c r="K327" s="176" t="str">
        <x:f t="shared" si="11"/>
      </x:c>
      <x:c r="L327" s="181" t="str">
        <x:f>IF($C327="","",IFERROR(IF(INDEX(Catalogo!$H$5:$H$86,MATCH($C327,Catalogo!$A$5:$A$86,0))="","",INDEX(Catalogo!$H$5:$H$86,MATCH($C327,Catalogo!$A$5:$A$86,0))),""))</x:f>
      </x:c>
      <x:c r="M327" s="176" t="str">
        <x:f>IF(OR($B327="",$L327=""),"",IFERROR(IF(INDEX(Obras!$H$5:$H$19,MATCH($B327,Obras!$A$5:$A$19,0))="","",IF(INDEX(Obras!$H$5:$H$19,MATCH($B327,Obras!$A$5:$A$19,0))&gt;$L327,"VENCIDA",IF($L327-INDEX(Obras!$H$5:$H$19,MATCH($B327,Obras!$A$5:$A$19,0))&lt;=0.5,"VENCE EM ATÉ 6 MESES","VIGENTE"))),""))</x:f>
      </x:c>
      <x:c r="N327" s="268"/>
    </x:row>
    <x:row r="328" ht="30" customHeight="1">
      <x:c r="A328" s="176" t="str">
        <x:f>IF(OR($B328="",$C328=""),"","LC-"&amp;TEXT(324,"0000"))</x:f>
      </x:c>
      <x:c r="B328" s="259"/>
      <x:c r="C328" s="259"/>
      <x:c r="D328" s="271" t="str">
        <x:f>IF($B328="","",IFERROR(IF(INDEX(Obras!$G$5:$G$19,MATCH($B328,Obras!$A$5:$A$19,0))="","",INDEX(Obras!$G$5:$G$19,MATCH($B328,Obras!$A$5:$A$19,0))),""))</x:f>
      </x:c>
      <x:c r="E328" s="259"/>
      <x:c r="F328" s="268"/>
      <x:c r="G328" s="259"/>
      <x:c r="H328" s="259"/>
      <x:c r="I328" s="259"/>
      <x:c r="J328" s="181" t="str">
        <x:f t="shared" si="10"/>
      </x:c>
      <x:c r="K328" s="176" t="str">
        <x:f t="shared" si="11"/>
      </x:c>
      <x:c r="L328" s="181" t="str">
        <x:f>IF($C328="","",IFERROR(IF(INDEX(Catalogo!$H$5:$H$86,MATCH($C328,Catalogo!$A$5:$A$86,0))="","",INDEX(Catalogo!$H$5:$H$86,MATCH($C328,Catalogo!$A$5:$A$86,0))),""))</x:f>
      </x:c>
      <x:c r="M328" s="176" t="str">
        <x:f>IF(OR($B328="",$L328=""),"",IFERROR(IF(INDEX(Obras!$H$5:$H$19,MATCH($B328,Obras!$A$5:$A$19,0))="","",IF(INDEX(Obras!$H$5:$H$19,MATCH($B328,Obras!$A$5:$A$19,0))&gt;$L328,"VENCIDA",IF($L328-INDEX(Obras!$H$5:$H$19,MATCH($B328,Obras!$A$5:$A$19,0))&lt;=0.5,"VENCE EM ATÉ 6 MESES","VIGENTE"))),""))</x:f>
      </x:c>
      <x:c r="N328" s="268"/>
    </x:row>
    <x:row r="329" ht="30" customHeight="1">
      <x:c r="A329" s="176" t="str">
        <x:f>IF(OR($B329="",$C329=""),"","LC-"&amp;TEXT(325,"0000"))</x:f>
      </x:c>
      <x:c r="B329" s="259"/>
      <x:c r="C329" s="259"/>
      <x:c r="D329" s="271" t="str">
        <x:f>IF($B329="","",IFERROR(IF(INDEX(Obras!$G$5:$G$19,MATCH($B329,Obras!$A$5:$A$19,0))="","",INDEX(Obras!$G$5:$G$19,MATCH($B329,Obras!$A$5:$A$19,0))),""))</x:f>
      </x:c>
      <x:c r="E329" s="259"/>
      <x:c r="F329" s="268"/>
      <x:c r="G329" s="259"/>
      <x:c r="H329" s="259"/>
      <x:c r="I329" s="259"/>
      <x:c r="J329" s="181" t="str">
        <x:f t="shared" si="10"/>
      </x:c>
      <x:c r="K329" s="176" t="str">
        <x:f t="shared" si="11"/>
      </x:c>
      <x:c r="L329" s="181" t="str">
        <x:f>IF($C329="","",IFERROR(IF(INDEX(Catalogo!$H$5:$H$86,MATCH($C329,Catalogo!$A$5:$A$86,0))="","",INDEX(Catalogo!$H$5:$H$86,MATCH($C329,Catalogo!$A$5:$A$86,0))),""))</x:f>
      </x:c>
      <x:c r="M329" s="176" t="str">
        <x:f>IF(OR($B329="",$L329=""),"",IFERROR(IF(INDEX(Obras!$H$5:$H$19,MATCH($B329,Obras!$A$5:$A$19,0))="","",IF(INDEX(Obras!$H$5:$H$19,MATCH($B329,Obras!$A$5:$A$19,0))&gt;$L329,"VENCIDA",IF($L329-INDEX(Obras!$H$5:$H$19,MATCH($B329,Obras!$A$5:$A$19,0))&lt;=0.5,"VENCE EM ATÉ 6 MESES","VIGENTE"))),""))</x:f>
      </x:c>
      <x:c r="N329" s="268"/>
    </x:row>
    <x:row r="330" ht="30" customHeight="1">
      <x:c r="A330" s="176" t="str">
        <x:f>IF(OR($B330="",$C330=""),"","LC-"&amp;TEXT(326,"0000"))</x:f>
      </x:c>
      <x:c r="B330" s="259"/>
      <x:c r="C330" s="259"/>
      <x:c r="D330" s="271" t="str">
        <x:f>IF($B330="","",IFERROR(IF(INDEX(Obras!$G$5:$G$19,MATCH($B330,Obras!$A$5:$A$19,0))="","",INDEX(Obras!$G$5:$G$19,MATCH($B330,Obras!$A$5:$A$19,0))),""))</x:f>
      </x:c>
      <x:c r="E330" s="259"/>
      <x:c r="F330" s="268"/>
      <x:c r="G330" s="259"/>
      <x:c r="H330" s="259"/>
      <x:c r="I330" s="259"/>
      <x:c r="J330" s="181" t="str">
        <x:f t="shared" si="10"/>
      </x:c>
      <x:c r="K330" s="176" t="str">
        <x:f t="shared" si="11"/>
      </x:c>
      <x:c r="L330" s="181" t="str">
        <x:f>IF($C330="","",IFERROR(IF(INDEX(Catalogo!$H$5:$H$86,MATCH($C330,Catalogo!$A$5:$A$86,0))="","",INDEX(Catalogo!$H$5:$H$86,MATCH($C330,Catalogo!$A$5:$A$86,0))),""))</x:f>
      </x:c>
      <x:c r="M330" s="176" t="str">
        <x:f>IF(OR($B330="",$L330=""),"",IFERROR(IF(INDEX(Obras!$H$5:$H$19,MATCH($B330,Obras!$A$5:$A$19,0))="","",IF(INDEX(Obras!$H$5:$H$19,MATCH($B330,Obras!$A$5:$A$19,0))&gt;$L330,"VENCIDA",IF($L330-INDEX(Obras!$H$5:$H$19,MATCH($B330,Obras!$A$5:$A$19,0))&lt;=0.5,"VENCE EM ATÉ 6 MESES","VIGENTE"))),""))</x:f>
      </x:c>
      <x:c r="N330" s="268"/>
    </x:row>
    <x:row r="331" ht="30" customHeight="1">
      <x:c r="A331" s="176" t="str">
        <x:f>IF(OR($B331="",$C331=""),"","LC-"&amp;TEXT(327,"0000"))</x:f>
      </x:c>
      <x:c r="B331" s="259"/>
      <x:c r="C331" s="259"/>
      <x:c r="D331" s="271" t="str">
        <x:f>IF($B331="","",IFERROR(IF(INDEX(Obras!$G$5:$G$19,MATCH($B331,Obras!$A$5:$A$19,0))="","",INDEX(Obras!$G$5:$G$19,MATCH($B331,Obras!$A$5:$A$19,0))),""))</x:f>
      </x:c>
      <x:c r="E331" s="259"/>
      <x:c r="F331" s="268"/>
      <x:c r="G331" s="259"/>
      <x:c r="H331" s="259"/>
      <x:c r="I331" s="259"/>
      <x:c r="J331" s="181" t="str">
        <x:f t="shared" si="10"/>
      </x:c>
      <x:c r="K331" s="176" t="str">
        <x:f t="shared" si="11"/>
      </x:c>
      <x:c r="L331" s="181" t="str">
        <x:f>IF($C331="","",IFERROR(IF(INDEX(Catalogo!$H$5:$H$86,MATCH($C331,Catalogo!$A$5:$A$86,0))="","",INDEX(Catalogo!$H$5:$H$86,MATCH($C331,Catalogo!$A$5:$A$86,0))),""))</x:f>
      </x:c>
      <x:c r="M331" s="176" t="str">
        <x:f>IF(OR($B331="",$L331=""),"",IFERROR(IF(INDEX(Obras!$H$5:$H$19,MATCH($B331,Obras!$A$5:$A$19,0))="","",IF(INDEX(Obras!$H$5:$H$19,MATCH($B331,Obras!$A$5:$A$19,0))&gt;$L331,"VENCIDA",IF($L331-INDEX(Obras!$H$5:$H$19,MATCH($B331,Obras!$A$5:$A$19,0))&lt;=0.5,"VENCE EM ATÉ 6 MESES","VIGENTE"))),""))</x:f>
      </x:c>
      <x:c r="N331" s="268"/>
    </x:row>
    <x:row r="332" ht="30" customHeight="1">
      <x:c r="A332" s="176" t="str">
        <x:f>IF(OR($B332="",$C332=""),"","LC-"&amp;TEXT(328,"0000"))</x:f>
      </x:c>
      <x:c r="B332" s="259"/>
      <x:c r="C332" s="259"/>
      <x:c r="D332" s="271" t="str">
        <x:f>IF($B332="","",IFERROR(IF(INDEX(Obras!$G$5:$G$19,MATCH($B332,Obras!$A$5:$A$19,0))="","",INDEX(Obras!$G$5:$G$19,MATCH($B332,Obras!$A$5:$A$19,0))),""))</x:f>
      </x:c>
      <x:c r="E332" s="259"/>
      <x:c r="F332" s="268"/>
      <x:c r="G332" s="259"/>
      <x:c r="H332" s="259"/>
      <x:c r="I332" s="259"/>
      <x:c r="J332" s="181" t="str">
        <x:f t="shared" si="10"/>
      </x:c>
      <x:c r="K332" s="176" t="str">
        <x:f t="shared" si="11"/>
      </x:c>
      <x:c r="L332" s="181" t="str">
        <x:f>IF($C332="","",IFERROR(IF(INDEX(Catalogo!$H$5:$H$86,MATCH($C332,Catalogo!$A$5:$A$86,0))="","",INDEX(Catalogo!$H$5:$H$86,MATCH($C332,Catalogo!$A$5:$A$86,0))),""))</x:f>
      </x:c>
      <x:c r="M332" s="176" t="str">
        <x:f>IF(OR($B332="",$L332=""),"",IFERROR(IF(INDEX(Obras!$H$5:$H$19,MATCH($B332,Obras!$A$5:$A$19,0))="","",IF(INDEX(Obras!$H$5:$H$19,MATCH($B332,Obras!$A$5:$A$19,0))&gt;$L332,"VENCIDA",IF($L332-INDEX(Obras!$H$5:$H$19,MATCH($B332,Obras!$A$5:$A$19,0))&lt;=0.5,"VENCE EM ATÉ 6 MESES","VIGENTE"))),""))</x:f>
      </x:c>
      <x:c r="N332" s="268"/>
    </x:row>
    <x:row r="333" ht="30" customHeight="1">
      <x:c r="A333" s="176" t="str">
        <x:f>IF(OR($B333="",$C333=""),"","LC-"&amp;TEXT(329,"0000"))</x:f>
      </x:c>
      <x:c r="B333" s="259"/>
      <x:c r="C333" s="259"/>
      <x:c r="D333" s="271" t="str">
        <x:f>IF($B333="","",IFERROR(IF(INDEX(Obras!$G$5:$G$19,MATCH($B333,Obras!$A$5:$A$19,0))="","",INDEX(Obras!$G$5:$G$19,MATCH($B333,Obras!$A$5:$A$19,0))),""))</x:f>
      </x:c>
      <x:c r="E333" s="259"/>
      <x:c r="F333" s="268"/>
      <x:c r="G333" s="259"/>
      <x:c r="H333" s="259"/>
      <x:c r="I333" s="259"/>
      <x:c r="J333" s="181" t="str">
        <x:f t="shared" si="10"/>
      </x:c>
      <x:c r="K333" s="176" t="str">
        <x:f t="shared" si="11"/>
      </x:c>
      <x:c r="L333" s="181" t="str">
        <x:f>IF($C333="","",IFERROR(IF(INDEX(Catalogo!$H$5:$H$86,MATCH($C333,Catalogo!$A$5:$A$86,0))="","",INDEX(Catalogo!$H$5:$H$86,MATCH($C333,Catalogo!$A$5:$A$86,0))),""))</x:f>
      </x:c>
      <x:c r="M333" s="176" t="str">
        <x:f>IF(OR($B333="",$L333=""),"",IFERROR(IF(INDEX(Obras!$H$5:$H$19,MATCH($B333,Obras!$A$5:$A$19,0))="","",IF(INDEX(Obras!$H$5:$H$19,MATCH($B333,Obras!$A$5:$A$19,0))&gt;$L333,"VENCIDA",IF($L333-INDEX(Obras!$H$5:$H$19,MATCH($B333,Obras!$A$5:$A$19,0))&lt;=0.5,"VENCE EM ATÉ 6 MESES","VIGENTE"))),""))</x:f>
      </x:c>
      <x:c r="N333" s="268"/>
    </x:row>
    <x:row r="334" ht="30" customHeight="1">
      <x:c r="A334" s="176" t="str">
        <x:f>IF(OR($B334="",$C334=""),"","LC-"&amp;TEXT(330,"0000"))</x:f>
      </x:c>
      <x:c r="B334" s="259"/>
      <x:c r="C334" s="259"/>
      <x:c r="D334" s="271" t="str">
        <x:f>IF($B334="","",IFERROR(IF(INDEX(Obras!$G$5:$G$19,MATCH($B334,Obras!$A$5:$A$19,0))="","",INDEX(Obras!$G$5:$G$19,MATCH($B334,Obras!$A$5:$A$19,0))),""))</x:f>
      </x:c>
      <x:c r="E334" s="259"/>
      <x:c r="F334" s="268"/>
      <x:c r="G334" s="259"/>
      <x:c r="H334" s="259"/>
      <x:c r="I334" s="259"/>
      <x:c r="J334" s="181" t="str">
        <x:f t="shared" si="10"/>
      </x:c>
      <x:c r="K334" s="176" t="str">
        <x:f t="shared" si="11"/>
      </x:c>
      <x:c r="L334" s="181" t="str">
        <x:f>IF($C334="","",IFERROR(IF(INDEX(Catalogo!$H$5:$H$86,MATCH($C334,Catalogo!$A$5:$A$86,0))="","",INDEX(Catalogo!$H$5:$H$86,MATCH($C334,Catalogo!$A$5:$A$86,0))),""))</x:f>
      </x:c>
      <x:c r="M334" s="176" t="str">
        <x:f>IF(OR($B334="",$L334=""),"",IFERROR(IF(INDEX(Obras!$H$5:$H$19,MATCH($B334,Obras!$A$5:$A$19,0))="","",IF(INDEX(Obras!$H$5:$H$19,MATCH($B334,Obras!$A$5:$A$19,0))&gt;$L334,"VENCIDA",IF($L334-INDEX(Obras!$H$5:$H$19,MATCH($B334,Obras!$A$5:$A$19,0))&lt;=0.5,"VENCE EM ATÉ 6 MESES","VIGENTE"))),""))</x:f>
      </x:c>
      <x:c r="N334" s="268"/>
    </x:row>
    <x:row r="335" ht="30" customHeight="1">
      <x:c r="A335" s="176" t="str">
        <x:f>IF(OR($B335="",$C335=""),"","LC-"&amp;TEXT(331,"0000"))</x:f>
      </x:c>
      <x:c r="B335" s="259"/>
      <x:c r="C335" s="259"/>
      <x:c r="D335" s="271" t="str">
        <x:f>IF($B335="","",IFERROR(IF(INDEX(Obras!$G$5:$G$19,MATCH($B335,Obras!$A$5:$A$19,0))="","",INDEX(Obras!$G$5:$G$19,MATCH($B335,Obras!$A$5:$A$19,0))),""))</x:f>
      </x:c>
      <x:c r="E335" s="259"/>
      <x:c r="F335" s="268"/>
      <x:c r="G335" s="259"/>
      <x:c r="H335" s="259"/>
      <x:c r="I335" s="259"/>
      <x:c r="J335" s="181" t="str">
        <x:f t="shared" si="10"/>
      </x:c>
      <x:c r="K335" s="176" t="str">
        <x:f t="shared" si="11"/>
      </x:c>
      <x:c r="L335" s="181" t="str">
        <x:f>IF($C335="","",IFERROR(IF(INDEX(Catalogo!$H$5:$H$86,MATCH($C335,Catalogo!$A$5:$A$86,0))="","",INDEX(Catalogo!$H$5:$H$86,MATCH($C335,Catalogo!$A$5:$A$86,0))),""))</x:f>
      </x:c>
      <x:c r="M335" s="176" t="str">
        <x:f>IF(OR($B335="",$L335=""),"",IFERROR(IF(INDEX(Obras!$H$5:$H$19,MATCH($B335,Obras!$A$5:$A$19,0))="","",IF(INDEX(Obras!$H$5:$H$19,MATCH($B335,Obras!$A$5:$A$19,0))&gt;$L335,"VENCIDA",IF($L335-INDEX(Obras!$H$5:$H$19,MATCH($B335,Obras!$A$5:$A$19,0))&lt;=0.5,"VENCE EM ATÉ 6 MESES","VIGENTE"))),""))</x:f>
      </x:c>
      <x:c r="N335" s="268"/>
    </x:row>
    <x:row r="336" ht="30" customHeight="1">
      <x:c r="A336" s="176" t="str">
        <x:f>IF(OR($B336="",$C336=""),"","LC-"&amp;TEXT(332,"0000"))</x:f>
      </x:c>
      <x:c r="B336" s="259"/>
      <x:c r="C336" s="259"/>
      <x:c r="D336" s="271" t="str">
        <x:f>IF($B336="","",IFERROR(IF(INDEX(Obras!$G$5:$G$19,MATCH($B336,Obras!$A$5:$A$19,0))="","",INDEX(Obras!$G$5:$G$19,MATCH($B336,Obras!$A$5:$A$19,0))),""))</x:f>
      </x:c>
      <x:c r="E336" s="259"/>
      <x:c r="F336" s="268"/>
      <x:c r="G336" s="259"/>
      <x:c r="H336" s="259"/>
      <x:c r="I336" s="259"/>
      <x:c r="J336" s="181" t="str">
        <x:f t="shared" si="10"/>
      </x:c>
      <x:c r="K336" s="176" t="str">
        <x:f t="shared" si="11"/>
      </x:c>
      <x:c r="L336" s="181" t="str">
        <x:f>IF($C336="","",IFERROR(IF(INDEX(Catalogo!$H$5:$H$86,MATCH($C336,Catalogo!$A$5:$A$86,0))="","",INDEX(Catalogo!$H$5:$H$86,MATCH($C336,Catalogo!$A$5:$A$86,0))),""))</x:f>
      </x:c>
      <x:c r="M336" s="176" t="str">
        <x:f>IF(OR($B336="",$L336=""),"",IFERROR(IF(INDEX(Obras!$H$5:$H$19,MATCH($B336,Obras!$A$5:$A$19,0))="","",IF(INDEX(Obras!$H$5:$H$19,MATCH($B336,Obras!$A$5:$A$19,0))&gt;$L336,"VENCIDA",IF($L336-INDEX(Obras!$H$5:$H$19,MATCH($B336,Obras!$A$5:$A$19,0))&lt;=0.5,"VENCE EM ATÉ 6 MESES","VIGENTE"))),""))</x:f>
      </x:c>
      <x:c r="N336" s="268"/>
    </x:row>
    <x:row r="337" ht="30" customHeight="1">
      <x:c r="A337" s="176" t="str">
        <x:f>IF(OR($B337="",$C337=""),"","LC-"&amp;TEXT(333,"0000"))</x:f>
      </x:c>
      <x:c r="B337" s="259"/>
      <x:c r="C337" s="259"/>
      <x:c r="D337" s="271" t="str">
        <x:f>IF($B337="","",IFERROR(IF(INDEX(Obras!$G$5:$G$19,MATCH($B337,Obras!$A$5:$A$19,0))="","",INDEX(Obras!$G$5:$G$19,MATCH($B337,Obras!$A$5:$A$19,0))),""))</x:f>
      </x:c>
      <x:c r="E337" s="259"/>
      <x:c r="F337" s="268"/>
      <x:c r="G337" s="259"/>
      <x:c r="H337" s="259"/>
      <x:c r="I337" s="259"/>
      <x:c r="J337" s="181" t="str">
        <x:f t="shared" si="10"/>
      </x:c>
      <x:c r="K337" s="176" t="str">
        <x:f t="shared" si="11"/>
      </x:c>
      <x:c r="L337" s="181" t="str">
        <x:f>IF($C337="","",IFERROR(IF(INDEX(Catalogo!$H$5:$H$86,MATCH($C337,Catalogo!$A$5:$A$86,0))="","",INDEX(Catalogo!$H$5:$H$86,MATCH($C337,Catalogo!$A$5:$A$86,0))),""))</x:f>
      </x:c>
      <x:c r="M337" s="176" t="str">
        <x:f>IF(OR($B337="",$L337=""),"",IFERROR(IF(INDEX(Obras!$H$5:$H$19,MATCH($B337,Obras!$A$5:$A$19,0))="","",IF(INDEX(Obras!$H$5:$H$19,MATCH($B337,Obras!$A$5:$A$19,0))&gt;$L337,"VENCIDA",IF($L337-INDEX(Obras!$H$5:$H$19,MATCH($B337,Obras!$A$5:$A$19,0))&lt;=0.5,"VENCE EM ATÉ 6 MESES","VIGENTE"))),""))</x:f>
      </x:c>
      <x:c r="N337" s="268"/>
    </x:row>
    <x:row r="338" ht="30" customHeight="1">
      <x:c r="A338" s="176" t="str">
        <x:f>IF(OR($B338="",$C338=""),"","LC-"&amp;TEXT(334,"0000"))</x:f>
      </x:c>
      <x:c r="B338" s="259"/>
      <x:c r="C338" s="259"/>
      <x:c r="D338" s="271" t="str">
        <x:f>IF($B338="","",IFERROR(IF(INDEX(Obras!$G$5:$G$19,MATCH($B338,Obras!$A$5:$A$19,0))="","",INDEX(Obras!$G$5:$G$19,MATCH($B338,Obras!$A$5:$A$19,0))),""))</x:f>
      </x:c>
      <x:c r="E338" s="259"/>
      <x:c r="F338" s="268"/>
      <x:c r="G338" s="259"/>
      <x:c r="H338" s="259"/>
      <x:c r="I338" s="259"/>
      <x:c r="J338" s="181" t="str">
        <x:f t="shared" si="10"/>
      </x:c>
      <x:c r="K338" s="176" t="str">
        <x:f t="shared" si="11"/>
      </x:c>
      <x:c r="L338" s="181" t="str">
        <x:f>IF($C338="","",IFERROR(IF(INDEX(Catalogo!$H$5:$H$86,MATCH($C338,Catalogo!$A$5:$A$86,0))="","",INDEX(Catalogo!$H$5:$H$86,MATCH($C338,Catalogo!$A$5:$A$86,0))),""))</x:f>
      </x:c>
      <x:c r="M338" s="176" t="str">
        <x:f>IF(OR($B338="",$L338=""),"",IFERROR(IF(INDEX(Obras!$H$5:$H$19,MATCH($B338,Obras!$A$5:$A$19,0))="","",IF(INDEX(Obras!$H$5:$H$19,MATCH($B338,Obras!$A$5:$A$19,0))&gt;$L338,"VENCIDA",IF($L338-INDEX(Obras!$H$5:$H$19,MATCH($B338,Obras!$A$5:$A$19,0))&lt;=0.5,"VENCE EM ATÉ 6 MESES","VIGENTE"))),""))</x:f>
      </x:c>
      <x:c r="N338" s="268"/>
    </x:row>
    <x:row r="339" ht="30" customHeight="1">
      <x:c r="A339" s="176" t="str">
        <x:f>IF(OR($B339="",$C339=""),"","LC-"&amp;TEXT(335,"0000"))</x:f>
      </x:c>
      <x:c r="B339" s="259"/>
      <x:c r="C339" s="259"/>
      <x:c r="D339" s="271" t="str">
        <x:f>IF($B339="","",IFERROR(IF(INDEX(Obras!$G$5:$G$19,MATCH($B339,Obras!$A$5:$A$19,0))="","",INDEX(Obras!$G$5:$G$19,MATCH($B339,Obras!$A$5:$A$19,0))),""))</x:f>
      </x:c>
      <x:c r="E339" s="259"/>
      <x:c r="F339" s="268"/>
      <x:c r="G339" s="259"/>
      <x:c r="H339" s="259"/>
      <x:c r="I339" s="259"/>
      <x:c r="J339" s="181" t="str">
        <x:f t="shared" si="10"/>
      </x:c>
      <x:c r="K339" s="176" t="str">
        <x:f t="shared" si="11"/>
      </x:c>
      <x:c r="L339" s="181" t="str">
        <x:f>IF($C339="","",IFERROR(IF(INDEX(Catalogo!$H$5:$H$86,MATCH($C339,Catalogo!$A$5:$A$86,0))="","",INDEX(Catalogo!$H$5:$H$86,MATCH($C339,Catalogo!$A$5:$A$86,0))),""))</x:f>
      </x:c>
      <x:c r="M339" s="176" t="str">
        <x:f>IF(OR($B339="",$L339=""),"",IFERROR(IF(INDEX(Obras!$H$5:$H$19,MATCH($B339,Obras!$A$5:$A$19,0))="","",IF(INDEX(Obras!$H$5:$H$19,MATCH($B339,Obras!$A$5:$A$19,0))&gt;$L339,"VENCIDA",IF($L339-INDEX(Obras!$H$5:$H$19,MATCH($B339,Obras!$A$5:$A$19,0))&lt;=0.5,"VENCE EM ATÉ 6 MESES","VIGENTE"))),""))</x:f>
      </x:c>
      <x:c r="N339" s="268"/>
    </x:row>
    <x:row r="340" ht="30" customHeight="1">
      <x:c r="A340" s="176" t="str">
        <x:f>IF(OR($B340="",$C340=""),"","LC-"&amp;TEXT(336,"0000"))</x:f>
      </x:c>
      <x:c r="B340" s="259"/>
      <x:c r="C340" s="259"/>
      <x:c r="D340" s="271" t="str">
        <x:f>IF($B340="","",IFERROR(IF(INDEX(Obras!$G$5:$G$19,MATCH($B340,Obras!$A$5:$A$19,0))="","",INDEX(Obras!$G$5:$G$19,MATCH($B340,Obras!$A$5:$A$19,0))),""))</x:f>
      </x:c>
      <x:c r="E340" s="259"/>
      <x:c r="F340" s="268"/>
      <x:c r="G340" s="259"/>
      <x:c r="H340" s="259"/>
      <x:c r="I340" s="259"/>
      <x:c r="J340" s="181" t="str">
        <x:f t="shared" si="10"/>
      </x:c>
      <x:c r="K340" s="176" t="str">
        <x:f t="shared" si="11"/>
      </x:c>
      <x:c r="L340" s="181" t="str">
        <x:f>IF($C340="","",IFERROR(IF(INDEX(Catalogo!$H$5:$H$86,MATCH($C340,Catalogo!$A$5:$A$86,0))="","",INDEX(Catalogo!$H$5:$H$86,MATCH($C340,Catalogo!$A$5:$A$86,0))),""))</x:f>
      </x:c>
      <x:c r="M340" s="176" t="str">
        <x:f>IF(OR($B340="",$L340=""),"",IFERROR(IF(INDEX(Obras!$H$5:$H$19,MATCH($B340,Obras!$A$5:$A$19,0))="","",IF(INDEX(Obras!$H$5:$H$19,MATCH($B340,Obras!$A$5:$A$19,0))&gt;$L340,"VENCIDA",IF($L340-INDEX(Obras!$H$5:$H$19,MATCH($B340,Obras!$A$5:$A$19,0))&lt;=0.5,"VENCE EM ATÉ 6 MESES","VIGENTE"))),""))</x:f>
      </x:c>
      <x:c r="N340" s="268"/>
    </x:row>
    <x:row r="341" ht="30" customHeight="1">
      <x:c r="A341" s="176" t="str">
        <x:f>IF(OR($B341="",$C341=""),"","LC-"&amp;TEXT(337,"0000"))</x:f>
      </x:c>
      <x:c r="B341" s="259"/>
      <x:c r="C341" s="259"/>
      <x:c r="D341" s="271" t="str">
        <x:f>IF($B341="","",IFERROR(IF(INDEX(Obras!$G$5:$G$19,MATCH($B341,Obras!$A$5:$A$19,0))="","",INDEX(Obras!$G$5:$G$19,MATCH($B341,Obras!$A$5:$A$19,0))),""))</x:f>
      </x:c>
      <x:c r="E341" s="259"/>
      <x:c r="F341" s="268"/>
      <x:c r="G341" s="259"/>
      <x:c r="H341" s="259"/>
      <x:c r="I341" s="259"/>
      <x:c r="J341" s="181" t="str">
        <x:f t="shared" si="10"/>
      </x:c>
      <x:c r="K341" s="176" t="str">
        <x:f t="shared" si="11"/>
      </x:c>
      <x:c r="L341" s="181" t="str">
        <x:f>IF($C341="","",IFERROR(IF(INDEX(Catalogo!$H$5:$H$86,MATCH($C341,Catalogo!$A$5:$A$86,0))="","",INDEX(Catalogo!$H$5:$H$86,MATCH($C341,Catalogo!$A$5:$A$86,0))),""))</x:f>
      </x:c>
      <x:c r="M341" s="176" t="str">
        <x:f>IF(OR($B341="",$L341=""),"",IFERROR(IF(INDEX(Obras!$H$5:$H$19,MATCH($B341,Obras!$A$5:$A$19,0))="","",IF(INDEX(Obras!$H$5:$H$19,MATCH($B341,Obras!$A$5:$A$19,0))&gt;$L341,"VENCIDA",IF($L341-INDEX(Obras!$H$5:$H$19,MATCH($B341,Obras!$A$5:$A$19,0))&lt;=0.5,"VENCE EM ATÉ 6 MESES","VIGENTE"))),""))</x:f>
      </x:c>
      <x:c r="N341" s="268"/>
    </x:row>
    <x:row r="342" ht="30" customHeight="1">
      <x:c r="A342" s="176" t="str">
        <x:f>IF(OR($B342="",$C342=""),"","LC-"&amp;TEXT(338,"0000"))</x:f>
      </x:c>
      <x:c r="B342" s="259"/>
      <x:c r="C342" s="259"/>
      <x:c r="D342" s="271" t="str">
        <x:f>IF($B342="","",IFERROR(IF(INDEX(Obras!$G$5:$G$19,MATCH($B342,Obras!$A$5:$A$19,0))="","",INDEX(Obras!$G$5:$G$19,MATCH($B342,Obras!$A$5:$A$19,0))),""))</x:f>
      </x:c>
      <x:c r="E342" s="259"/>
      <x:c r="F342" s="268"/>
      <x:c r="G342" s="259"/>
      <x:c r="H342" s="259"/>
      <x:c r="I342" s="259"/>
      <x:c r="J342" s="181" t="str">
        <x:f t="shared" si="10"/>
      </x:c>
      <x:c r="K342" s="176" t="str">
        <x:f t="shared" si="11"/>
      </x:c>
      <x:c r="L342" s="181" t="str">
        <x:f>IF($C342="","",IFERROR(IF(INDEX(Catalogo!$H$5:$H$86,MATCH($C342,Catalogo!$A$5:$A$86,0))="","",INDEX(Catalogo!$H$5:$H$86,MATCH($C342,Catalogo!$A$5:$A$86,0))),""))</x:f>
      </x:c>
      <x:c r="M342" s="176" t="str">
        <x:f>IF(OR($B342="",$L342=""),"",IFERROR(IF(INDEX(Obras!$H$5:$H$19,MATCH($B342,Obras!$A$5:$A$19,0))="","",IF(INDEX(Obras!$H$5:$H$19,MATCH($B342,Obras!$A$5:$A$19,0))&gt;$L342,"VENCIDA",IF($L342-INDEX(Obras!$H$5:$H$19,MATCH($B342,Obras!$A$5:$A$19,0))&lt;=0.5,"VENCE EM ATÉ 6 MESES","VIGENTE"))),""))</x:f>
      </x:c>
      <x:c r="N342" s="268"/>
    </x:row>
    <x:row r="343" ht="30" customHeight="1">
      <x:c r="A343" s="176" t="str">
        <x:f>IF(OR($B343="",$C343=""),"","LC-"&amp;TEXT(339,"0000"))</x:f>
      </x:c>
      <x:c r="B343" s="259"/>
      <x:c r="C343" s="259"/>
      <x:c r="D343" s="271" t="str">
        <x:f>IF($B343="","",IFERROR(IF(INDEX(Obras!$G$5:$G$19,MATCH($B343,Obras!$A$5:$A$19,0))="","",INDEX(Obras!$G$5:$G$19,MATCH($B343,Obras!$A$5:$A$19,0))),""))</x:f>
      </x:c>
      <x:c r="E343" s="259"/>
      <x:c r="F343" s="268"/>
      <x:c r="G343" s="259"/>
      <x:c r="H343" s="259"/>
      <x:c r="I343" s="259"/>
      <x:c r="J343" s="181" t="str">
        <x:f t="shared" si="10"/>
      </x:c>
      <x:c r="K343" s="176" t="str">
        <x:f t="shared" si="11"/>
      </x:c>
      <x:c r="L343" s="181" t="str">
        <x:f>IF($C343="","",IFERROR(IF(INDEX(Catalogo!$H$5:$H$86,MATCH($C343,Catalogo!$A$5:$A$86,0))="","",INDEX(Catalogo!$H$5:$H$86,MATCH($C343,Catalogo!$A$5:$A$86,0))),""))</x:f>
      </x:c>
      <x:c r="M343" s="176" t="str">
        <x:f>IF(OR($B343="",$L343=""),"",IFERROR(IF(INDEX(Obras!$H$5:$H$19,MATCH($B343,Obras!$A$5:$A$19,0))="","",IF(INDEX(Obras!$H$5:$H$19,MATCH($B343,Obras!$A$5:$A$19,0))&gt;$L343,"VENCIDA",IF($L343-INDEX(Obras!$H$5:$H$19,MATCH($B343,Obras!$A$5:$A$19,0))&lt;=0.5,"VENCE EM ATÉ 6 MESES","VIGENTE"))),""))</x:f>
      </x:c>
      <x:c r="N343" s="268"/>
    </x:row>
    <x:row r="344" ht="30" customHeight="1">
      <x:c r="A344" s="176" t="str">
        <x:f>IF(OR($B344="",$C344=""),"","LC-"&amp;TEXT(340,"0000"))</x:f>
      </x:c>
      <x:c r="B344" s="259"/>
      <x:c r="C344" s="259"/>
      <x:c r="D344" s="271" t="str">
        <x:f>IF($B344="","",IFERROR(IF(INDEX(Obras!$G$5:$G$19,MATCH($B344,Obras!$A$5:$A$19,0))="","",INDEX(Obras!$G$5:$G$19,MATCH($B344,Obras!$A$5:$A$19,0))),""))</x:f>
      </x:c>
      <x:c r="E344" s="259"/>
      <x:c r="F344" s="268"/>
      <x:c r="G344" s="259"/>
      <x:c r="H344" s="259"/>
      <x:c r="I344" s="259"/>
      <x:c r="J344" s="181" t="str">
        <x:f t="shared" si="10"/>
      </x:c>
      <x:c r="K344" s="176" t="str">
        <x:f t="shared" si="11"/>
      </x:c>
      <x:c r="L344" s="181" t="str">
        <x:f>IF($C344="","",IFERROR(IF(INDEX(Catalogo!$H$5:$H$86,MATCH($C344,Catalogo!$A$5:$A$86,0))="","",INDEX(Catalogo!$H$5:$H$86,MATCH($C344,Catalogo!$A$5:$A$86,0))),""))</x:f>
      </x:c>
      <x:c r="M344" s="176" t="str">
        <x:f>IF(OR($B344="",$L344=""),"",IFERROR(IF(INDEX(Obras!$H$5:$H$19,MATCH($B344,Obras!$A$5:$A$19,0))="","",IF(INDEX(Obras!$H$5:$H$19,MATCH($B344,Obras!$A$5:$A$19,0))&gt;$L344,"VENCIDA",IF($L344-INDEX(Obras!$H$5:$H$19,MATCH($B344,Obras!$A$5:$A$19,0))&lt;=0.5,"VENCE EM ATÉ 6 MESES","VIGENTE"))),""))</x:f>
      </x:c>
      <x:c r="N344" s="268"/>
    </x:row>
    <x:row r="345" ht="30" customHeight="1">
      <x:c r="A345" s="176" t="str">
        <x:f>IF(OR($B345="",$C345=""),"","LC-"&amp;TEXT(341,"0000"))</x:f>
      </x:c>
      <x:c r="B345" s="259"/>
      <x:c r="C345" s="259"/>
      <x:c r="D345" s="271" t="str">
        <x:f>IF($B345="","",IFERROR(IF(INDEX(Obras!$G$5:$G$19,MATCH($B345,Obras!$A$5:$A$19,0))="","",INDEX(Obras!$G$5:$G$19,MATCH($B345,Obras!$A$5:$A$19,0))),""))</x:f>
      </x:c>
      <x:c r="E345" s="259"/>
      <x:c r="F345" s="268"/>
      <x:c r="G345" s="259"/>
      <x:c r="H345" s="259"/>
      <x:c r="I345" s="259"/>
      <x:c r="J345" s="181" t="str">
        <x:f t="shared" si="10"/>
      </x:c>
      <x:c r="K345" s="176" t="str">
        <x:f t="shared" si="11"/>
      </x:c>
      <x:c r="L345" s="181" t="str">
        <x:f>IF($C345="","",IFERROR(IF(INDEX(Catalogo!$H$5:$H$86,MATCH($C345,Catalogo!$A$5:$A$86,0))="","",INDEX(Catalogo!$H$5:$H$86,MATCH($C345,Catalogo!$A$5:$A$86,0))),""))</x:f>
      </x:c>
      <x:c r="M345" s="176" t="str">
        <x:f>IF(OR($B345="",$L345=""),"",IFERROR(IF(INDEX(Obras!$H$5:$H$19,MATCH($B345,Obras!$A$5:$A$19,0))="","",IF(INDEX(Obras!$H$5:$H$19,MATCH($B345,Obras!$A$5:$A$19,0))&gt;$L345,"VENCIDA",IF($L345-INDEX(Obras!$H$5:$H$19,MATCH($B345,Obras!$A$5:$A$19,0))&lt;=0.5,"VENCE EM ATÉ 6 MESES","VIGENTE"))),""))</x:f>
      </x:c>
      <x:c r="N345" s="268"/>
    </x:row>
    <x:row r="346" ht="30" customHeight="1">
      <x:c r="A346" s="176" t="str">
        <x:f>IF(OR($B346="",$C346=""),"","LC-"&amp;TEXT(342,"0000"))</x:f>
      </x:c>
      <x:c r="B346" s="259"/>
      <x:c r="C346" s="259"/>
      <x:c r="D346" s="271" t="str">
        <x:f>IF($B346="","",IFERROR(IF(INDEX(Obras!$G$5:$G$19,MATCH($B346,Obras!$A$5:$A$19,0))="","",INDEX(Obras!$G$5:$G$19,MATCH($B346,Obras!$A$5:$A$19,0))),""))</x:f>
      </x:c>
      <x:c r="E346" s="259"/>
      <x:c r="F346" s="268"/>
      <x:c r="G346" s="259"/>
      <x:c r="H346" s="259"/>
      <x:c r="I346" s="259"/>
      <x:c r="J346" s="181" t="str">
        <x:f t="shared" si="10"/>
      </x:c>
      <x:c r="K346" s="176" t="str">
        <x:f t="shared" si="11"/>
      </x:c>
      <x:c r="L346" s="181" t="str">
        <x:f>IF($C346="","",IFERROR(IF(INDEX(Catalogo!$H$5:$H$86,MATCH($C346,Catalogo!$A$5:$A$86,0))="","",INDEX(Catalogo!$H$5:$H$86,MATCH($C346,Catalogo!$A$5:$A$86,0))),""))</x:f>
      </x:c>
      <x:c r="M346" s="176" t="str">
        <x:f>IF(OR($B346="",$L346=""),"",IFERROR(IF(INDEX(Obras!$H$5:$H$19,MATCH($B346,Obras!$A$5:$A$19,0))="","",IF(INDEX(Obras!$H$5:$H$19,MATCH($B346,Obras!$A$5:$A$19,0))&gt;$L346,"VENCIDA",IF($L346-INDEX(Obras!$H$5:$H$19,MATCH($B346,Obras!$A$5:$A$19,0))&lt;=0.5,"VENCE EM ATÉ 6 MESES","VIGENTE"))),""))</x:f>
      </x:c>
      <x:c r="N346" s="268"/>
    </x:row>
    <x:row r="347" ht="30" customHeight="1">
      <x:c r="A347" s="176" t="str">
        <x:f>IF(OR($B347="",$C347=""),"","LC-"&amp;TEXT(343,"0000"))</x:f>
      </x:c>
      <x:c r="B347" s="259"/>
      <x:c r="C347" s="259"/>
      <x:c r="D347" s="271" t="str">
        <x:f>IF($B347="","",IFERROR(IF(INDEX(Obras!$G$5:$G$19,MATCH($B347,Obras!$A$5:$A$19,0))="","",INDEX(Obras!$G$5:$G$19,MATCH($B347,Obras!$A$5:$A$19,0))),""))</x:f>
      </x:c>
      <x:c r="E347" s="259"/>
      <x:c r="F347" s="268"/>
      <x:c r="G347" s="259"/>
      <x:c r="H347" s="259"/>
      <x:c r="I347" s="259"/>
      <x:c r="J347" s="181" t="str">
        <x:f t="shared" si="10"/>
      </x:c>
      <x:c r="K347" s="176" t="str">
        <x:f t="shared" si="11"/>
      </x:c>
      <x:c r="L347" s="181" t="str">
        <x:f>IF($C347="","",IFERROR(IF(INDEX(Catalogo!$H$5:$H$86,MATCH($C347,Catalogo!$A$5:$A$86,0))="","",INDEX(Catalogo!$H$5:$H$86,MATCH($C347,Catalogo!$A$5:$A$86,0))),""))</x:f>
      </x:c>
      <x:c r="M347" s="176" t="str">
        <x:f>IF(OR($B347="",$L347=""),"",IFERROR(IF(INDEX(Obras!$H$5:$H$19,MATCH($B347,Obras!$A$5:$A$19,0))="","",IF(INDEX(Obras!$H$5:$H$19,MATCH($B347,Obras!$A$5:$A$19,0))&gt;$L347,"VENCIDA",IF($L347-INDEX(Obras!$H$5:$H$19,MATCH($B347,Obras!$A$5:$A$19,0))&lt;=0.5,"VENCE EM ATÉ 6 MESES","VIGENTE"))),""))</x:f>
      </x:c>
      <x:c r="N347" s="268"/>
    </x:row>
    <x:row r="348" ht="30" customHeight="1">
      <x:c r="A348" s="176" t="str">
        <x:f>IF(OR($B348="",$C348=""),"","LC-"&amp;TEXT(344,"0000"))</x:f>
      </x:c>
      <x:c r="B348" s="259"/>
      <x:c r="C348" s="259"/>
      <x:c r="D348" s="271" t="str">
        <x:f>IF($B348="","",IFERROR(IF(INDEX(Obras!$G$5:$G$19,MATCH($B348,Obras!$A$5:$A$19,0))="","",INDEX(Obras!$G$5:$G$19,MATCH($B348,Obras!$A$5:$A$19,0))),""))</x:f>
      </x:c>
      <x:c r="E348" s="259"/>
      <x:c r="F348" s="268"/>
      <x:c r="G348" s="259"/>
      <x:c r="H348" s="259"/>
      <x:c r="I348" s="259"/>
      <x:c r="J348" s="181" t="str">
        <x:f t="shared" si="10"/>
      </x:c>
      <x:c r="K348" s="176" t="str">
        <x:f t="shared" si="11"/>
      </x:c>
      <x:c r="L348" s="181" t="str">
        <x:f>IF($C348="","",IFERROR(IF(INDEX(Catalogo!$H$5:$H$86,MATCH($C348,Catalogo!$A$5:$A$86,0))="","",INDEX(Catalogo!$H$5:$H$86,MATCH($C348,Catalogo!$A$5:$A$86,0))),""))</x:f>
      </x:c>
      <x:c r="M348" s="176" t="str">
        <x:f>IF(OR($B348="",$L348=""),"",IFERROR(IF(INDEX(Obras!$H$5:$H$19,MATCH($B348,Obras!$A$5:$A$19,0))="","",IF(INDEX(Obras!$H$5:$H$19,MATCH($B348,Obras!$A$5:$A$19,0))&gt;$L348,"VENCIDA",IF($L348-INDEX(Obras!$H$5:$H$19,MATCH($B348,Obras!$A$5:$A$19,0))&lt;=0.5,"VENCE EM ATÉ 6 MESES","VIGENTE"))),""))</x:f>
      </x:c>
      <x:c r="N348" s="268"/>
    </x:row>
    <x:row r="349" ht="30" customHeight="1">
      <x:c r="A349" s="176" t="str">
        <x:f>IF(OR($B349="",$C349=""),"","LC-"&amp;TEXT(345,"0000"))</x:f>
      </x:c>
      <x:c r="B349" s="259"/>
      <x:c r="C349" s="259"/>
      <x:c r="D349" s="271" t="str">
        <x:f>IF($B349="","",IFERROR(IF(INDEX(Obras!$G$5:$G$19,MATCH($B349,Obras!$A$5:$A$19,0))="","",INDEX(Obras!$G$5:$G$19,MATCH($B349,Obras!$A$5:$A$19,0))),""))</x:f>
      </x:c>
      <x:c r="E349" s="259"/>
      <x:c r="F349" s="268"/>
      <x:c r="G349" s="259"/>
      <x:c r="H349" s="259"/>
      <x:c r="I349" s="259"/>
      <x:c r="J349" s="181" t="str">
        <x:f t="shared" si="10"/>
      </x:c>
      <x:c r="K349" s="176" t="str">
        <x:f t="shared" si="11"/>
      </x:c>
      <x:c r="L349" s="181" t="str">
        <x:f>IF($C349="","",IFERROR(IF(INDEX(Catalogo!$H$5:$H$86,MATCH($C349,Catalogo!$A$5:$A$86,0))="","",INDEX(Catalogo!$H$5:$H$86,MATCH($C349,Catalogo!$A$5:$A$86,0))),""))</x:f>
      </x:c>
      <x:c r="M349" s="176" t="str">
        <x:f>IF(OR($B349="",$L349=""),"",IFERROR(IF(INDEX(Obras!$H$5:$H$19,MATCH($B349,Obras!$A$5:$A$19,0))="","",IF(INDEX(Obras!$H$5:$H$19,MATCH($B349,Obras!$A$5:$A$19,0))&gt;$L349,"VENCIDA",IF($L349-INDEX(Obras!$H$5:$H$19,MATCH($B349,Obras!$A$5:$A$19,0))&lt;=0.5,"VENCE EM ATÉ 6 MESES","VIGENTE"))),""))</x:f>
      </x:c>
      <x:c r="N349" s="268"/>
    </x:row>
    <x:row r="350" ht="30" customHeight="1">
      <x:c r="A350" s="176" t="str">
        <x:f>IF(OR($B350="",$C350=""),"","LC-"&amp;TEXT(346,"0000"))</x:f>
      </x:c>
      <x:c r="B350" s="259"/>
      <x:c r="C350" s="259"/>
      <x:c r="D350" s="271" t="str">
        <x:f>IF($B350="","",IFERROR(IF(INDEX(Obras!$G$5:$G$19,MATCH($B350,Obras!$A$5:$A$19,0))="","",INDEX(Obras!$G$5:$G$19,MATCH($B350,Obras!$A$5:$A$19,0))),""))</x:f>
      </x:c>
      <x:c r="E350" s="259"/>
      <x:c r="F350" s="268"/>
      <x:c r="G350" s="259"/>
      <x:c r="H350" s="259"/>
      <x:c r="I350" s="259"/>
      <x:c r="J350" s="181" t="str">
        <x:f t="shared" si="10"/>
      </x:c>
      <x:c r="K350" s="176" t="str">
        <x:f t="shared" si="11"/>
      </x:c>
      <x:c r="L350" s="181" t="str">
        <x:f>IF($C350="","",IFERROR(IF(INDEX(Catalogo!$H$5:$H$86,MATCH($C350,Catalogo!$A$5:$A$86,0))="","",INDEX(Catalogo!$H$5:$H$86,MATCH($C350,Catalogo!$A$5:$A$86,0))),""))</x:f>
      </x:c>
      <x:c r="M350" s="176" t="str">
        <x:f>IF(OR($B350="",$L350=""),"",IFERROR(IF(INDEX(Obras!$H$5:$H$19,MATCH($B350,Obras!$A$5:$A$19,0))="","",IF(INDEX(Obras!$H$5:$H$19,MATCH($B350,Obras!$A$5:$A$19,0))&gt;$L350,"VENCIDA",IF($L350-INDEX(Obras!$H$5:$H$19,MATCH($B350,Obras!$A$5:$A$19,0))&lt;=0.5,"VENCE EM ATÉ 6 MESES","VIGENTE"))),""))</x:f>
      </x:c>
      <x:c r="N350" s="268"/>
    </x:row>
    <x:row r="351" ht="30" customHeight="1">
      <x:c r="A351" s="176" t="str">
        <x:f>IF(OR($B351="",$C351=""),"","LC-"&amp;TEXT(347,"0000"))</x:f>
      </x:c>
      <x:c r="B351" s="259"/>
      <x:c r="C351" s="259"/>
      <x:c r="D351" s="271" t="str">
        <x:f>IF($B351="","",IFERROR(IF(INDEX(Obras!$G$5:$G$19,MATCH($B351,Obras!$A$5:$A$19,0))="","",INDEX(Obras!$G$5:$G$19,MATCH($B351,Obras!$A$5:$A$19,0))),""))</x:f>
      </x:c>
      <x:c r="E351" s="259"/>
      <x:c r="F351" s="268"/>
      <x:c r="G351" s="259"/>
      <x:c r="H351" s="259"/>
      <x:c r="I351" s="259"/>
      <x:c r="J351" s="181" t="str">
        <x:f t="shared" si="10"/>
      </x:c>
      <x:c r="K351" s="176" t="str">
        <x:f t="shared" si="11"/>
      </x:c>
      <x:c r="L351" s="181" t="str">
        <x:f>IF($C351="","",IFERROR(IF(INDEX(Catalogo!$H$5:$H$86,MATCH($C351,Catalogo!$A$5:$A$86,0))="","",INDEX(Catalogo!$H$5:$H$86,MATCH($C351,Catalogo!$A$5:$A$86,0))),""))</x:f>
      </x:c>
      <x:c r="M351" s="176" t="str">
        <x:f>IF(OR($B351="",$L351=""),"",IFERROR(IF(INDEX(Obras!$H$5:$H$19,MATCH($B351,Obras!$A$5:$A$19,0))="","",IF(INDEX(Obras!$H$5:$H$19,MATCH($B351,Obras!$A$5:$A$19,0))&gt;$L351,"VENCIDA",IF($L351-INDEX(Obras!$H$5:$H$19,MATCH($B351,Obras!$A$5:$A$19,0))&lt;=0.5,"VENCE EM ATÉ 6 MESES","VIGENTE"))),""))</x:f>
      </x:c>
      <x:c r="N351" s="268"/>
    </x:row>
    <x:row r="352" ht="30" customHeight="1">
      <x:c r="A352" s="176" t="str">
        <x:f>IF(OR($B352="",$C352=""),"","LC-"&amp;TEXT(348,"0000"))</x:f>
      </x:c>
      <x:c r="B352" s="259"/>
      <x:c r="C352" s="259"/>
      <x:c r="D352" s="271" t="str">
        <x:f>IF($B352="","",IFERROR(IF(INDEX(Obras!$G$5:$G$19,MATCH($B352,Obras!$A$5:$A$19,0))="","",INDEX(Obras!$G$5:$G$19,MATCH($B352,Obras!$A$5:$A$19,0))),""))</x:f>
      </x:c>
      <x:c r="E352" s="259"/>
      <x:c r="F352" s="268"/>
      <x:c r="G352" s="259"/>
      <x:c r="H352" s="259"/>
      <x:c r="I352" s="259"/>
      <x:c r="J352" s="181" t="str">
        <x:f t="shared" si="10"/>
      </x:c>
      <x:c r="K352" s="176" t="str">
        <x:f t="shared" si="11"/>
      </x:c>
      <x:c r="L352" s="181" t="str">
        <x:f>IF($C352="","",IFERROR(IF(INDEX(Catalogo!$H$5:$H$86,MATCH($C352,Catalogo!$A$5:$A$86,0))="","",INDEX(Catalogo!$H$5:$H$86,MATCH($C352,Catalogo!$A$5:$A$86,0))),""))</x:f>
      </x:c>
      <x:c r="M352" s="176" t="str">
        <x:f>IF(OR($B352="",$L352=""),"",IFERROR(IF(INDEX(Obras!$H$5:$H$19,MATCH($B352,Obras!$A$5:$A$19,0))="","",IF(INDEX(Obras!$H$5:$H$19,MATCH($B352,Obras!$A$5:$A$19,0))&gt;$L352,"VENCIDA",IF($L352-INDEX(Obras!$H$5:$H$19,MATCH($B352,Obras!$A$5:$A$19,0))&lt;=0.5,"VENCE EM ATÉ 6 MESES","VIGENTE"))),""))</x:f>
      </x:c>
      <x:c r="N352" s="268"/>
    </x:row>
    <x:row r="353" ht="30" customHeight="1">
      <x:c r="A353" s="176" t="str">
        <x:f>IF(OR($B353="",$C353=""),"","LC-"&amp;TEXT(349,"0000"))</x:f>
      </x:c>
      <x:c r="B353" s="259"/>
      <x:c r="C353" s="259"/>
      <x:c r="D353" s="271" t="str">
        <x:f>IF($B353="","",IFERROR(IF(INDEX(Obras!$G$5:$G$19,MATCH($B353,Obras!$A$5:$A$19,0))="","",INDEX(Obras!$G$5:$G$19,MATCH($B353,Obras!$A$5:$A$19,0))),""))</x:f>
      </x:c>
      <x:c r="E353" s="259"/>
      <x:c r="F353" s="268"/>
      <x:c r="G353" s="259"/>
      <x:c r="H353" s="259"/>
      <x:c r="I353" s="259"/>
      <x:c r="J353" s="181" t="str">
        <x:f t="shared" si="10"/>
      </x:c>
      <x:c r="K353" s="176" t="str">
        <x:f t="shared" si="11"/>
      </x:c>
      <x:c r="L353" s="181" t="str">
        <x:f>IF($C353="","",IFERROR(IF(INDEX(Catalogo!$H$5:$H$86,MATCH($C353,Catalogo!$A$5:$A$86,0))="","",INDEX(Catalogo!$H$5:$H$86,MATCH($C353,Catalogo!$A$5:$A$86,0))),""))</x:f>
      </x:c>
      <x:c r="M353" s="176" t="str">
        <x:f>IF(OR($B353="",$L353=""),"",IFERROR(IF(INDEX(Obras!$H$5:$H$19,MATCH($B353,Obras!$A$5:$A$19,0))="","",IF(INDEX(Obras!$H$5:$H$19,MATCH($B353,Obras!$A$5:$A$19,0))&gt;$L353,"VENCIDA",IF($L353-INDEX(Obras!$H$5:$H$19,MATCH($B353,Obras!$A$5:$A$19,0))&lt;=0.5,"VENCE EM ATÉ 6 MESES","VIGENTE"))),""))</x:f>
      </x:c>
      <x:c r="N353" s="268"/>
    </x:row>
    <x:row r="354" ht="30" customHeight="1">
      <x:c r="A354" s="176" t="str">
        <x:f>IF(OR($B354="",$C354=""),"","LC-"&amp;TEXT(350,"0000"))</x:f>
      </x:c>
      <x:c r="B354" s="259"/>
      <x:c r="C354" s="259"/>
      <x:c r="D354" s="271" t="str">
        <x:f>IF($B354="","",IFERROR(IF(INDEX(Obras!$G$5:$G$19,MATCH($B354,Obras!$A$5:$A$19,0))="","",INDEX(Obras!$G$5:$G$19,MATCH($B354,Obras!$A$5:$A$19,0))),""))</x:f>
      </x:c>
      <x:c r="E354" s="259"/>
      <x:c r="F354" s="268"/>
      <x:c r="G354" s="259"/>
      <x:c r="H354" s="259"/>
      <x:c r="I354" s="259"/>
      <x:c r="J354" s="181" t="str">
        <x:f t="shared" si="10"/>
      </x:c>
      <x:c r="K354" s="176" t="str">
        <x:f t="shared" si="11"/>
      </x:c>
      <x:c r="L354" s="181" t="str">
        <x:f>IF($C354="","",IFERROR(IF(INDEX(Catalogo!$H$5:$H$86,MATCH($C354,Catalogo!$A$5:$A$86,0))="","",INDEX(Catalogo!$H$5:$H$86,MATCH($C354,Catalogo!$A$5:$A$86,0))),""))</x:f>
      </x:c>
      <x:c r="M354" s="176" t="str">
        <x:f>IF(OR($B354="",$L354=""),"",IFERROR(IF(INDEX(Obras!$H$5:$H$19,MATCH($B354,Obras!$A$5:$A$19,0))="","",IF(INDEX(Obras!$H$5:$H$19,MATCH($B354,Obras!$A$5:$A$19,0))&gt;$L354,"VENCIDA",IF($L354-INDEX(Obras!$H$5:$H$19,MATCH($B354,Obras!$A$5:$A$19,0))&lt;=0.5,"VENCE EM ATÉ 6 MESES","VIGENTE"))),""))</x:f>
      </x:c>
      <x:c r="N354" s="268"/>
    </x:row>
    <x:row r="355" ht="30" customHeight="1">
      <x:c r="A355" s="176" t="str">
        <x:f>IF(OR($B355="",$C355=""),"","LC-"&amp;TEXT(351,"0000"))</x:f>
      </x:c>
      <x:c r="B355" s="259"/>
      <x:c r="C355" s="259"/>
      <x:c r="D355" s="271" t="str">
        <x:f>IF($B355="","",IFERROR(IF(INDEX(Obras!$G$5:$G$19,MATCH($B355,Obras!$A$5:$A$19,0))="","",INDEX(Obras!$G$5:$G$19,MATCH($B355,Obras!$A$5:$A$19,0))),""))</x:f>
      </x:c>
      <x:c r="E355" s="259"/>
      <x:c r="F355" s="268"/>
      <x:c r="G355" s="259"/>
      <x:c r="H355" s="259"/>
      <x:c r="I355" s="259"/>
      <x:c r="J355" s="181" t="str">
        <x:f t="shared" si="10"/>
      </x:c>
      <x:c r="K355" s="176" t="str">
        <x:f t="shared" si="11"/>
      </x:c>
      <x:c r="L355" s="181" t="str">
        <x:f>IF($C355="","",IFERROR(IF(INDEX(Catalogo!$H$5:$H$86,MATCH($C355,Catalogo!$A$5:$A$86,0))="","",INDEX(Catalogo!$H$5:$H$86,MATCH($C355,Catalogo!$A$5:$A$86,0))),""))</x:f>
      </x:c>
      <x:c r="M355" s="176" t="str">
        <x:f>IF(OR($B355="",$L355=""),"",IFERROR(IF(INDEX(Obras!$H$5:$H$19,MATCH($B355,Obras!$A$5:$A$19,0))="","",IF(INDEX(Obras!$H$5:$H$19,MATCH($B355,Obras!$A$5:$A$19,0))&gt;$L355,"VENCIDA",IF($L355-INDEX(Obras!$H$5:$H$19,MATCH($B355,Obras!$A$5:$A$19,0))&lt;=0.5,"VENCE EM ATÉ 6 MESES","VIGENTE"))),""))</x:f>
      </x:c>
      <x:c r="N355" s="268"/>
    </x:row>
    <x:row r="356" ht="30" customHeight="1">
      <x:c r="A356" s="176" t="str">
        <x:f>IF(OR($B356="",$C356=""),"","LC-"&amp;TEXT(352,"0000"))</x:f>
      </x:c>
      <x:c r="B356" s="259"/>
      <x:c r="C356" s="259"/>
      <x:c r="D356" s="271" t="str">
        <x:f>IF($B356="","",IFERROR(IF(INDEX(Obras!$G$5:$G$19,MATCH($B356,Obras!$A$5:$A$19,0))="","",INDEX(Obras!$G$5:$G$19,MATCH($B356,Obras!$A$5:$A$19,0))),""))</x:f>
      </x:c>
      <x:c r="E356" s="259"/>
      <x:c r="F356" s="268"/>
      <x:c r="G356" s="259"/>
      <x:c r="H356" s="259"/>
      <x:c r="I356" s="259"/>
      <x:c r="J356" s="181" t="str">
        <x:f t="shared" si="10"/>
      </x:c>
      <x:c r="K356" s="176" t="str">
        <x:f t="shared" si="11"/>
      </x:c>
      <x:c r="L356" s="181" t="str">
        <x:f>IF($C356="","",IFERROR(IF(INDEX(Catalogo!$H$5:$H$86,MATCH($C356,Catalogo!$A$5:$A$86,0))="","",INDEX(Catalogo!$H$5:$H$86,MATCH($C356,Catalogo!$A$5:$A$86,0))),""))</x:f>
      </x:c>
      <x:c r="M356" s="176" t="str">
        <x:f>IF(OR($B356="",$L356=""),"",IFERROR(IF(INDEX(Obras!$H$5:$H$19,MATCH($B356,Obras!$A$5:$A$19,0))="","",IF(INDEX(Obras!$H$5:$H$19,MATCH($B356,Obras!$A$5:$A$19,0))&gt;$L356,"VENCIDA",IF($L356-INDEX(Obras!$H$5:$H$19,MATCH($B356,Obras!$A$5:$A$19,0))&lt;=0.5,"VENCE EM ATÉ 6 MESES","VIGENTE"))),""))</x:f>
      </x:c>
      <x:c r="N356" s="268"/>
    </x:row>
    <x:row r="357" ht="30" customHeight="1">
      <x:c r="A357" s="176" t="str">
        <x:f>IF(OR($B357="",$C357=""),"","LC-"&amp;TEXT(353,"0000"))</x:f>
      </x:c>
      <x:c r="B357" s="259"/>
      <x:c r="C357" s="259"/>
      <x:c r="D357" s="271" t="str">
        <x:f>IF($B357="","",IFERROR(IF(INDEX(Obras!$G$5:$G$19,MATCH($B357,Obras!$A$5:$A$19,0))="","",INDEX(Obras!$G$5:$G$19,MATCH($B357,Obras!$A$5:$A$19,0))),""))</x:f>
      </x:c>
      <x:c r="E357" s="259"/>
      <x:c r="F357" s="268"/>
      <x:c r="G357" s="259"/>
      <x:c r="H357" s="259"/>
      <x:c r="I357" s="259"/>
      <x:c r="J357" s="181" t="str">
        <x:f t="shared" si="10"/>
      </x:c>
      <x:c r="K357" s="176" t="str">
        <x:f t="shared" si="11"/>
      </x:c>
      <x:c r="L357" s="181" t="str">
        <x:f>IF($C357="","",IFERROR(IF(INDEX(Catalogo!$H$5:$H$86,MATCH($C357,Catalogo!$A$5:$A$86,0))="","",INDEX(Catalogo!$H$5:$H$86,MATCH($C357,Catalogo!$A$5:$A$86,0))),""))</x:f>
      </x:c>
      <x:c r="M357" s="176" t="str">
        <x:f>IF(OR($B357="",$L357=""),"",IFERROR(IF(INDEX(Obras!$H$5:$H$19,MATCH($B357,Obras!$A$5:$A$19,0))="","",IF(INDEX(Obras!$H$5:$H$19,MATCH($B357,Obras!$A$5:$A$19,0))&gt;$L357,"VENCIDA",IF($L357-INDEX(Obras!$H$5:$H$19,MATCH($B357,Obras!$A$5:$A$19,0))&lt;=0.5,"VENCE EM ATÉ 6 MESES","VIGENTE"))),""))</x:f>
      </x:c>
      <x:c r="N357" s="268"/>
    </x:row>
    <x:row r="358" ht="30" customHeight="1">
      <x:c r="A358" s="176" t="str">
        <x:f>IF(OR($B358="",$C358=""),"","LC-"&amp;TEXT(354,"0000"))</x:f>
      </x:c>
      <x:c r="B358" s="259"/>
      <x:c r="C358" s="259"/>
      <x:c r="D358" s="271" t="str">
        <x:f>IF($B358="","",IFERROR(IF(INDEX(Obras!$G$5:$G$19,MATCH($B358,Obras!$A$5:$A$19,0))="","",INDEX(Obras!$G$5:$G$19,MATCH($B358,Obras!$A$5:$A$19,0))),""))</x:f>
      </x:c>
      <x:c r="E358" s="259"/>
      <x:c r="F358" s="268"/>
      <x:c r="G358" s="259"/>
      <x:c r="H358" s="259"/>
      <x:c r="I358" s="259"/>
      <x:c r="J358" s="181" t="str">
        <x:f t="shared" si="10"/>
      </x:c>
      <x:c r="K358" s="176" t="str">
        <x:f t="shared" si="11"/>
      </x:c>
      <x:c r="L358" s="181" t="str">
        <x:f>IF($C358="","",IFERROR(IF(INDEX(Catalogo!$H$5:$H$86,MATCH($C358,Catalogo!$A$5:$A$86,0))="","",INDEX(Catalogo!$H$5:$H$86,MATCH($C358,Catalogo!$A$5:$A$86,0))),""))</x:f>
      </x:c>
      <x:c r="M358" s="176" t="str">
        <x:f>IF(OR($B358="",$L358=""),"",IFERROR(IF(INDEX(Obras!$H$5:$H$19,MATCH($B358,Obras!$A$5:$A$19,0))="","",IF(INDEX(Obras!$H$5:$H$19,MATCH($B358,Obras!$A$5:$A$19,0))&gt;$L358,"VENCIDA",IF($L358-INDEX(Obras!$H$5:$H$19,MATCH($B358,Obras!$A$5:$A$19,0))&lt;=0.5,"VENCE EM ATÉ 6 MESES","VIGENTE"))),""))</x:f>
      </x:c>
      <x:c r="N358" s="268"/>
    </x:row>
    <x:row r="359" ht="30" customHeight="1">
      <x:c r="A359" s="176" t="str">
        <x:f>IF(OR($B359="",$C359=""),"","LC-"&amp;TEXT(355,"0000"))</x:f>
      </x:c>
      <x:c r="B359" s="259"/>
      <x:c r="C359" s="259"/>
      <x:c r="D359" s="271" t="str">
        <x:f>IF($B359="","",IFERROR(IF(INDEX(Obras!$G$5:$G$19,MATCH($B359,Obras!$A$5:$A$19,0))="","",INDEX(Obras!$G$5:$G$19,MATCH($B359,Obras!$A$5:$A$19,0))),""))</x:f>
      </x:c>
      <x:c r="E359" s="259"/>
      <x:c r="F359" s="268"/>
      <x:c r="G359" s="259"/>
      <x:c r="H359" s="259"/>
      <x:c r="I359" s="259"/>
      <x:c r="J359" s="181" t="str">
        <x:f t="shared" si="10"/>
      </x:c>
      <x:c r="K359" s="176" t="str">
        <x:f t="shared" si="11"/>
      </x:c>
      <x:c r="L359" s="181" t="str">
        <x:f>IF($C359="","",IFERROR(IF(INDEX(Catalogo!$H$5:$H$86,MATCH($C359,Catalogo!$A$5:$A$86,0))="","",INDEX(Catalogo!$H$5:$H$86,MATCH($C359,Catalogo!$A$5:$A$86,0))),""))</x:f>
      </x:c>
      <x:c r="M359" s="176" t="str">
        <x:f>IF(OR($B359="",$L359=""),"",IFERROR(IF(INDEX(Obras!$H$5:$H$19,MATCH($B359,Obras!$A$5:$A$19,0))="","",IF(INDEX(Obras!$H$5:$H$19,MATCH($B359,Obras!$A$5:$A$19,0))&gt;$L359,"VENCIDA",IF($L359-INDEX(Obras!$H$5:$H$19,MATCH($B359,Obras!$A$5:$A$19,0))&lt;=0.5,"VENCE EM ATÉ 6 MESES","VIGENTE"))),""))</x:f>
      </x:c>
      <x:c r="N359" s="268"/>
    </x:row>
    <x:row r="360" ht="30" customHeight="1">
      <x:c r="A360" s="176" t="str">
        <x:f>IF(OR($B360="",$C360=""),"","LC-"&amp;TEXT(356,"0000"))</x:f>
      </x:c>
      <x:c r="B360" s="259"/>
      <x:c r="C360" s="259"/>
      <x:c r="D360" s="271" t="str">
        <x:f>IF($B360="","",IFERROR(IF(INDEX(Obras!$G$5:$G$19,MATCH($B360,Obras!$A$5:$A$19,0))="","",INDEX(Obras!$G$5:$G$19,MATCH($B360,Obras!$A$5:$A$19,0))),""))</x:f>
      </x:c>
      <x:c r="E360" s="259"/>
      <x:c r="F360" s="268"/>
      <x:c r="G360" s="259"/>
      <x:c r="H360" s="259"/>
      <x:c r="I360" s="259"/>
      <x:c r="J360" s="181" t="str">
        <x:f t="shared" si="10"/>
      </x:c>
      <x:c r="K360" s="176" t="str">
        <x:f t="shared" si="11"/>
      </x:c>
      <x:c r="L360" s="181" t="str">
        <x:f>IF($C360="","",IFERROR(IF(INDEX(Catalogo!$H$5:$H$86,MATCH($C360,Catalogo!$A$5:$A$86,0))="","",INDEX(Catalogo!$H$5:$H$86,MATCH($C360,Catalogo!$A$5:$A$86,0))),""))</x:f>
      </x:c>
      <x:c r="M360" s="176" t="str">
        <x:f>IF(OR($B360="",$L360=""),"",IFERROR(IF(INDEX(Obras!$H$5:$H$19,MATCH($B360,Obras!$A$5:$A$19,0))="","",IF(INDEX(Obras!$H$5:$H$19,MATCH($B360,Obras!$A$5:$A$19,0))&gt;$L360,"VENCIDA",IF($L360-INDEX(Obras!$H$5:$H$19,MATCH($B360,Obras!$A$5:$A$19,0))&lt;=0.5,"VENCE EM ATÉ 6 MESES","VIGENTE"))),""))</x:f>
      </x:c>
      <x:c r="N360" s="268"/>
    </x:row>
    <x:row r="361" ht="30" customHeight="1">
      <x:c r="A361" s="176" t="str">
        <x:f>IF(OR($B361="",$C361=""),"","LC-"&amp;TEXT(357,"0000"))</x:f>
      </x:c>
      <x:c r="B361" s="259"/>
      <x:c r="C361" s="259"/>
      <x:c r="D361" s="271" t="str">
        <x:f>IF($B361="","",IFERROR(IF(INDEX(Obras!$G$5:$G$19,MATCH($B361,Obras!$A$5:$A$19,0))="","",INDEX(Obras!$G$5:$G$19,MATCH($B361,Obras!$A$5:$A$19,0))),""))</x:f>
      </x:c>
      <x:c r="E361" s="259"/>
      <x:c r="F361" s="268"/>
      <x:c r="G361" s="259"/>
      <x:c r="H361" s="259"/>
      <x:c r="I361" s="259"/>
      <x:c r="J361" s="181" t="str">
        <x:f t="shared" si="10"/>
      </x:c>
      <x:c r="K361" s="176" t="str">
        <x:f t="shared" si="11"/>
      </x:c>
      <x:c r="L361" s="181" t="str">
        <x:f>IF($C361="","",IFERROR(IF(INDEX(Catalogo!$H$5:$H$86,MATCH($C361,Catalogo!$A$5:$A$86,0))="","",INDEX(Catalogo!$H$5:$H$86,MATCH($C361,Catalogo!$A$5:$A$86,0))),""))</x:f>
      </x:c>
      <x:c r="M361" s="176" t="str">
        <x:f>IF(OR($B361="",$L361=""),"",IFERROR(IF(INDEX(Obras!$H$5:$H$19,MATCH($B361,Obras!$A$5:$A$19,0))="","",IF(INDEX(Obras!$H$5:$H$19,MATCH($B361,Obras!$A$5:$A$19,0))&gt;$L361,"VENCIDA",IF($L361-INDEX(Obras!$H$5:$H$19,MATCH($B361,Obras!$A$5:$A$19,0))&lt;=0.5,"VENCE EM ATÉ 6 MESES","VIGENTE"))),""))</x:f>
      </x:c>
      <x:c r="N361" s="268"/>
    </x:row>
    <x:row r="362" ht="30" customHeight="1">
      <x:c r="A362" s="176" t="str">
        <x:f>IF(OR($B362="",$C362=""),"","LC-"&amp;TEXT(358,"0000"))</x:f>
      </x:c>
      <x:c r="B362" s="259"/>
      <x:c r="C362" s="259"/>
      <x:c r="D362" s="271" t="str">
        <x:f>IF($B362="","",IFERROR(IF(INDEX(Obras!$G$5:$G$19,MATCH($B362,Obras!$A$5:$A$19,0))="","",INDEX(Obras!$G$5:$G$19,MATCH($B362,Obras!$A$5:$A$19,0))),""))</x:f>
      </x:c>
      <x:c r="E362" s="259"/>
      <x:c r="F362" s="268"/>
      <x:c r="G362" s="259"/>
      <x:c r="H362" s="259"/>
      <x:c r="I362" s="259"/>
      <x:c r="J362" s="181" t="str">
        <x:f t="shared" si="10"/>
      </x:c>
      <x:c r="K362" s="176" t="str">
        <x:f t="shared" si="11"/>
      </x:c>
      <x:c r="L362" s="181" t="str">
        <x:f>IF($C362="","",IFERROR(IF(INDEX(Catalogo!$H$5:$H$86,MATCH($C362,Catalogo!$A$5:$A$86,0))="","",INDEX(Catalogo!$H$5:$H$86,MATCH($C362,Catalogo!$A$5:$A$86,0))),""))</x:f>
      </x:c>
      <x:c r="M362" s="176" t="str">
        <x:f>IF(OR($B362="",$L362=""),"",IFERROR(IF(INDEX(Obras!$H$5:$H$19,MATCH($B362,Obras!$A$5:$A$19,0))="","",IF(INDEX(Obras!$H$5:$H$19,MATCH($B362,Obras!$A$5:$A$19,0))&gt;$L362,"VENCIDA",IF($L362-INDEX(Obras!$H$5:$H$19,MATCH($B362,Obras!$A$5:$A$19,0))&lt;=0.5,"VENCE EM ATÉ 6 MESES","VIGENTE"))),""))</x:f>
      </x:c>
      <x:c r="N362" s="268"/>
    </x:row>
    <x:row r="363" ht="30" customHeight="1">
      <x:c r="A363" s="176" t="str">
        <x:f>IF(OR($B363="",$C363=""),"","LC-"&amp;TEXT(359,"0000"))</x:f>
      </x:c>
      <x:c r="B363" s="259"/>
      <x:c r="C363" s="259"/>
      <x:c r="D363" s="271" t="str">
        <x:f>IF($B363="","",IFERROR(IF(INDEX(Obras!$G$5:$G$19,MATCH($B363,Obras!$A$5:$A$19,0))="","",INDEX(Obras!$G$5:$G$19,MATCH($B363,Obras!$A$5:$A$19,0))),""))</x:f>
      </x:c>
      <x:c r="E363" s="259"/>
      <x:c r="F363" s="268"/>
      <x:c r="G363" s="259"/>
      <x:c r="H363" s="259"/>
      <x:c r="I363" s="259"/>
      <x:c r="J363" s="181" t="str">
        <x:f t="shared" si="10"/>
      </x:c>
      <x:c r="K363" s="176" t="str">
        <x:f t="shared" si="11"/>
      </x:c>
      <x:c r="L363" s="181" t="str">
        <x:f>IF($C363="","",IFERROR(IF(INDEX(Catalogo!$H$5:$H$86,MATCH($C363,Catalogo!$A$5:$A$86,0))="","",INDEX(Catalogo!$H$5:$H$86,MATCH($C363,Catalogo!$A$5:$A$86,0))),""))</x:f>
      </x:c>
      <x:c r="M363" s="176" t="str">
        <x:f>IF(OR($B363="",$L363=""),"",IFERROR(IF(INDEX(Obras!$H$5:$H$19,MATCH($B363,Obras!$A$5:$A$19,0))="","",IF(INDEX(Obras!$H$5:$H$19,MATCH($B363,Obras!$A$5:$A$19,0))&gt;$L363,"VENCIDA",IF($L363-INDEX(Obras!$H$5:$H$19,MATCH($B363,Obras!$A$5:$A$19,0))&lt;=0.5,"VENCE EM ATÉ 6 MESES","VIGENTE"))),""))</x:f>
      </x:c>
      <x:c r="N363" s="268"/>
    </x:row>
    <x:row r="364" ht="30" customHeight="1">
      <x:c r="A364" s="176" t="str">
        <x:f>IF(OR($B364="",$C364=""),"","LC-"&amp;TEXT(360,"0000"))</x:f>
      </x:c>
      <x:c r="B364" s="259"/>
      <x:c r="C364" s="259"/>
      <x:c r="D364" s="271" t="str">
        <x:f>IF($B364="","",IFERROR(IF(INDEX(Obras!$G$5:$G$19,MATCH($B364,Obras!$A$5:$A$19,0))="","",INDEX(Obras!$G$5:$G$19,MATCH($B364,Obras!$A$5:$A$19,0))),""))</x:f>
      </x:c>
      <x:c r="E364" s="259"/>
      <x:c r="F364" s="268"/>
      <x:c r="G364" s="259"/>
      <x:c r="H364" s="259"/>
      <x:c r="I364" s="259"/>
      <x:c r="J364" s="181" t="str">
        <x:f t="shared" si="10"/>
      </x:c>
      <x:c r="K364" s="176" t="str">
        <x:f t="shared" si="11"/>
      </x:c>
      <x:c r="L364" s="181" t="str">
        <x:f>IF($C364="","",IFERROR(IF(INDEX(Catalogo!$H$5:$H$86,MATCH($C364,Catalogo!$A$5:$A$86,0))="","",INDEX(Catalogo!$H$5:$H$86,MATCH($C364,Catalogo!$A$5:$A$86,0))),""))</x:f>
      </x:c>
      <x:c r="M364" s="176" t="str">
        <x:f>IF(OR($B364="",$L364=""),"",IFERROR(IF(INDEX(Obras!$H$5:$H$19,MATCH($B364,Obras!$A$5:$A$19,0))="","",IF(INDEX(Obras!$H$5:$H$19,MATCH($B364,Obras!$A$5:$A$19,0))&gt;$L364,"VENCIDA",IF($L364-INDEX(Obras!$H$5:$H$19,MATCH($B364,Obras!$A$5:$A$19,0))&lt;=0.5,"VENCE EM ATÉ 6 MESES","VIGENTE"))),""))</x:f>
      </x:c>
      <x:c r="N364" s="268"/>
    </x:row>
    <x:row r="365" ht="30" customHeight="1">
      <x:c r="A365" s="176" t="str">
        <x:f>IF(OR($B365="",$C365=""),"","LC-"&amp;TEXT(361,"0000"))</x:f>
      </x:c>
      <x:c r="B365" s="259"/>
      <x:c r="C365" s="259"/>
      <x:c r="D365" s="271" t="str">
        <x:f>IF($B365="","",IFERROR(IF(INDEX(Obras!$G$5:$G$19,MATCH($B365,Obras!$A$5:$A$19,0))="","",INDEX(Obras!$G$5:$G$19,MATCH($B365,Obras!$A$5:$A$19,0))),""))</x:f>
      </x:c>
      <x:c r="E365" s="259"/>
      <x:c r="F365" s="268"/>
      <x:c r="G365" s="259"/>
      <x:c r="H365" s="259"/>
      <x:c r="I365" s="259"/>
      <x:c r="J365" s="181" t="str">
        <x:f t="shared" si="10"/>
      </x:c>
      <x:c r="K365" s="176" t="str">
        <x:f t="shared" si="11"/>
      </x:c>
      <x:c r="L365" s="181" t="str">
        <x:f>IF($C365="","",IFERROR(IF(INDEX(Catalogo!$H$5:$H$86,MATCH($C365,Catalogo!$A$5:$A$86,0))="","",INDEX(Catalogo!$H$5:$H$86,MATCH($C365,Catalogo!$A$5:$A$86,0))),""))</x:f>
      </x:c>
      <x:c r="M365" s="176" t="str">
        <x:f>IF(OR($B365="",$L365=""),"",IFERROR(IF(INDEX(Obras!$H$5:$H$19,MATCH($B365,Obras!$A$5:$A$19,0))="","",IF(INDEX(Obras!$H$5:$H$19,MATCH($B365,Obras!$A$5:$A$19,0))&gt;$L365,"VENCIDA",IF($L365-INDEX(Obras!$H$5:$H$19,MATCH($B365,Obras!$A$5:$A$19,0))&lt;=0.5,"VENCE EM ATÉ 6 MESES","VIGENTE"))),""))</x:f>
      </x:c>
      <x:c r="N365" s="268"/>
    </x:row>
    <x:row r="366" ht="30" customHeight="1">
      <x:c r="A366" s="176" t="str">
        <x:f>IF(OR($B366="",$C366=""),"","LC-"&amp;TEXT(362,"0000"))</x:f>
      </x:c>
      <x:c r="B366" s="259"/>
      <x:c r="C366" s="259"/>
      <x:c r="D366" s="271" t="str">
        <x:f>IF($B366="","",IFERROR(IF(INDEX(Obras!$G$5:$G$19,MATCH($B366,Obras!$A$5:$A$19,0))="","",INDEX(Obras!$G$5:$G$19,MATCH($B366,Obras!$A$5:$A$19,0))),""))</x:f>
      </x:c>
      <x:c r="E366" s="259"/>
      <x:c r="F366" s="268"/>
      <x:c r="G366" s="259"/>
      <x:c r="H366" s="259"/>
      <x:c r="I366" s="259"/>
      <x:c r="J366" s="181" t="str">
        <x:f t="shared" si="10"/>
      </x:c>
      <x:c r="K366" s="176" t="str">
        <x:f t="shared" si="11"/>
      </x:c>
      <x:c r="L366" s="181" t="str">
        <x:f>IF($C366="","",IFERROR(IF(INDEX(Catalogo!$H$5:$H$86,MATCH($C366,Catalogo!$A$5:$A$86,0))="","",INDEX(Catalogo!$H$5:$H$86,MATCH($C366,Catalogo!$A$5:$A$86,0))),""))</x:f>
      </x:c>
      <x:c r="M366" s="176" t="str">
        <x:f>IF(OR($B366="",$L366=""),"",IFERROR(IF(INDEX(Obras!$H$5:$H$19,MATCH($B366,Obras!$A$5:$A$19,0))="","",IF(INDEX(Obras!$H$5:$H$19,MATCH($B366,Obras!$A$5:$A$19,0))&gt;$L366,"VENCIDA",IF($L366-INDEX(Obras!$H$5:$H$19,MATCH($B366,Obras!$A$5:$A$19,0))&lt;=0.5,"VENCE EM ATÉ 6 MESES","VIGENTE"))),""))</x:f>
      </x:c>
      <x:c r="N366" s="268"/>
    </x:row>
    <x:row r="367" ht="30" customHeight="1">
      <x:c r="A367" s="176" t="str">
        <x:f>IF(OR($B367="",$C367=""),"","LC-"&amp;TEXT(363,"0000"))</x:f>
      </x:c>
      <x:c r="B367" s="259"/>
      <x:c r="C367" s="259"/>
      <x:c r="D367" s="271" t="str">
        <x:f>IF($B367="","",IFERROR(IF(INDEX(Obras!$G$5:$G$19,MATCH($B367,Obras!$A$5:$A$19,0))="","",INDEX(Obras!$G$5:$G$19,MATCH($B367,Obras!$A$5:$A$19,0))),""))</x:f>
      </x:c>
      <x:c r="E367" s="259"/>
      <x:c r="F367" s="268"/>
      <x:c r="G367" s="259"/>
      <x:c r="H367" s="259"/>
      <x:c r="I367" s="259"/>
      <x:c r="J367" s="181" t="str">
        <x:f t="shared" si="10"/>
      </x:c>
      <x:c r="K367" s="176" t="str">
        <x:f t="shared" si="11"/>
      </x:c>
      <x:c r="L367" s="181" t="str">
        <x:f>IF($C367="","",IFERROR(IF(INDEX(Catalogo!$H$5:$H$86,MATCH($C367,Catalogo!$A$5:$A$86,0))="","",INDEX(Catalogo!$H$5:$H$86,MATCH($C367,Catalogo!$A$5:$A$86,0))),""))</x:f>
      </x:c>
      <x:c r="M367" s="176" t="str">
        <x:f>IF(OR($B367="",$L367=""),"",IFERROR(IF(INDEX(Obras!$H$5:$H$19,MATCH($B367,Obras!$A$5:$A$19,0))="","",IF(INDEX(Obras!$H$5:$H$19,MATCH($B367,Obras!$A$5:$A$19,0))&gt;$L367,"VENCIDA",IF($L367-INDEX(Obras!$H$5:$H$19,MATCH($B367,Obras!$A$5:$A$19,0))&lt;=0.5,"VENCE EM ATÉ 6 MESES","VIGENTE"))),""))</x:f>
      </x:c>
      <x:c r="N367" s="268"/>
    </x:row>
    <x:row r="368" ht="30" customHeight="1">
      <x:c r="A368" s="176" t="str">
        <x:f>IF(OR($B368="",$C368=""),"","LC-"&amp;TEXT(364,"0000"))</x:f>
      </x:c>
      <x:c r="B368" s="259"/>
      <x:c r="C368" s="259"/>
      <x:c r="D368" s="271" t="str">
        <x:f>IF($B368="","",IFERROR(IF(INDEX(Obras!$G$5:$G$19,MATCH($B368,Obras!$A$5:$A$19,0))="","",INDEX(Obras!$G$5:$G$19,MATCH($B368,Obras!$A$5:$A$19,0))),""))</x:f>
      </x:c>
      <x:c r="E368" s="259"/>
      <x:c r="F368" s="268"/>
      <x:c r="G368" s="259"/>
      <x:c r="H368" s="259"/>
      <x:c r="I368" s="259"/>
      <x:c r="J368" s="181" t="str">
        <x:f t="shared" si="10"/>
      </x:c>
      <x:c r="K368" s="176" t="str">
        <x:f t="shared" si="11"/>
      </x:c>
      <x:c r="L368" s="181" t="str">
        <x:f>IF($C368="","",IFERROR(IF(INDEX(Catalogo!$H$5:$H$86,MATCH($C368,Catalogo!$A$5:$A$86,0))="","",INDEX(Catalogo!$H$5:$H$86,MATCH($C368,Catalogo!$A$5:$A$86,0))),""))</x:f>
      </x:c>
      <x:c r="M368" s="176" t="str">
        <x:f>IF(OR($B368="",$L368=""),"",IFERROR(IF(INDEX(Obras!$H$5:$H$19,MATCH($B368,Obras!$A$5:$A$19,0))="","",IF(INDEX(Obras!$H$5:$H$19,MATCH($B368,Obras!$A$5:$A$19,0))&gt;$L368,"VENCIDA",IF($L368-INDEX(Obras!$H$5:$H$19,MATCH($B368,Obras!$A$5:$A$19,0))&lt;=0.5,"VENCE EM ATÉ 6 MESES","VIGENTE"))),""))</x:f>
      </x:c>
      <x:c r="N368" s="268"/>
    </x:row>
    <x:row r="369" ht="30" customHeight="1">
      <x:c r="A369" s="176" t="str">
        <x:f>IF(OR($B369="",$C369=""),"","LC-"&amp;TEXT(365,"0000"))</x:f>
      </x:c>
      <x:c r="B369" s="259"/>
      <x:c r="C369" s="259"/>
      <x:c r="D369" s="271" t="str">
        <x:f>IF($B369="","",IFERROR(IF(INDEX(Obras!$G$5:$G$19,MATCH($B369,Obras!$A$5:$A$19,0))="","",INDEX(Obras!$G$5:$G$19,MATCH($B369,Obras!$A$5:$A$19,0))),""))</x:f>
      </x:c>
      <x:c r="E369" s="259"/>
      <x:c r="F369" s="268"/>
      <x:c r="G369" s="259"/>
      <x:c r="H369" s="259"/>
      <x:c r="I369" s="259"/>
      <x:c r="J369" s="181" t="str">
        <x:f t="shared" si="10"/>
      </x:c>
      <x:c r="K369" s="176" t="str">
        <x:f t="shared" si="11"/>
      </x:c>
      <x:c r="L369" s="181" t="str">
        <x:f>IF($C369="","",IFERROR(IF(INDEX(Catalogo!$H$5:$H$86,MATCH($C369,Catalogo!$A$5:$A$86,0))="","",INDEX(Catalogo!$H$5:$H$86,MATCH($C369,Catalogo!$A$5:$A$86,0))),""))</x:f>
      </x:c>
      <x:c r="M369" s="176" t="str">
        <x:f>IF(OR($B369="",$L369=""),"",IFERROR(IF(INDEX(Obras!$H$5:$H$19,MATCH($B369,Obras!$A$5:$A$19,0))="","",IF(INDEX(Obras!$H$5:$H$19,MATCH($B369,Obras!$A$5:$A$19,0))&gt;$L369,"VENCIDA",IF($L369-INDEX(Obras!$H$5:$H$19,MATCH($B369,Obras!$A$5:$A$19,0))&lt;=0.5,"VENCE EM ATÉ 6 MESES","VIGENTE"))),""))</x:f>
      </x:c>
      <x:c r="N369" s="268"/>
    </x:row>
    <x:row r="370" ht="30" customHeight="1">
      <x:c r="A370" s="176" t="str">
        <x:f>IF(OR($B370="",$C370=""),"","LC-"&amp;TEXT(366,"0000"))</x:f>
      </x:c>
      <x:c r="B370" s="259"/>
      <x:c r="C370" s="259"/>
      <x:c r="D370" s="271" t="str">
        <x:f>IF($B370="","",IFERROR(IF(INDEX(Obras!$G$5:$G$19,MATCH($B370,Obras!$A$5:$A$19,0))="","",INDEX(Obras!$G$5:$G$19,MATCH($B370,Obras!$A$5:$A$19,0))),""))</x:f>
      </x:c>
      <x:c r="E370" s="259"/>
      <x:c r="F370" s="268"/>
      <x:c r="G370" s="259"/>
      <x:c r="H370" s="259"/>
      <x:c r="I370" s="259"/>
      <x:c r="J370" s="181" t="str">
        <x:f t="shared" si="10"/>
      </x:c>
      <x:c r="K370" s="176" t="str">
        <x:f t="shared" si="11"/>
      </x:c>
      <x:c r="L370" s="181" t="str">
        <x:f>IF($C370="","",IFERROR(IF(INDEX(Catalogo!$H$5:$H$86,MATCH($C370,Catalogo!$A$5:$A$86,0))="","",INDEX(Catalogo!$H$5:$H$86,MATCH($C370,Catalogo!$A$5:$A$86,0))),""))</x:f>
      </x:c>
      <x:c r="M370" s="176" t="str">
        <x:f>IF(OR($B370="",$L370=""),"",IFERROR(IF(INDEX(Obras!$H$5:$H$19,MATCH($B370,Obras!$A$5:$A$19,0))="","",IF(INDEX(Obras!$H$5:$H$19,MATCH($B370,Obras!$A$5:$A$19,0))&gt;$L370,"VENCIDA",IF($L370-INDEX(Obras!$H$5:$H$19,MATCH($B370,Obras!$A$5:$A$19,0))&lt;=0.5,"VENCE EM ATÉ 6 MESES","VIGENTE"))),""))</x:f>
      </x:c>
      <x:c r="N370" s="268"/>
    </x:row>
    <x:row r="371" ht="30" customHeight="1">
      <x:c r="A371" s="176" t="str">
        <x:f>IF(OR($B371="",$C371=""),"","LC-"&amp;TEXT(367,"0000"))</x:f>
      </x:c>
      <x:c r="B371" s="259"/>
      <x:c r="C371" s="259"/>
      <x:c r="D371" s="271" t="str">
        <x:f>IF($B371="","",IFERROR(IF(INDEX(Obras!$G$5:$G$19,MATCH($B371,Obras!$A$5:$A$19,0))="","",INDEX(Obras!$G$5:$G$19,MATCH($B371,Obras!$A$5:$A$19,0))),""))</x:f>
      </x:c>
      <x:c r="E371" s="259"/>
      <x:c r="F371" s="268"/>
      <x:c r="G371" s="259"/>
      <x:c r="H371" s="259"/>
      <x:c r="I371" s="259"/>
      <x:c r="J371" s="181" t="str">
        <x:f t="shared" si="10"/>
      </x:c>
      <x:c r="K371" s="176" t="str">
        <x:f t="shared" si="11"/>
      </x:c>
      <x:c r="L371" s="181" t="str">
        <x:f>IF($C371="","",IFERROR(IF(INDEX(Catalogo!$H$5:$H$86,MATCH($C371,Catalogo!$A$5:$A$86,0))="","",INDEX(Catalogo!$H$5:$H$86,MATCH($C371,Catalogo!$A$5:$A$86,0))),""))</x:f>
      </x:c>
      <x:c r="M371" s="176" t="str">
        <x:f>IF(OR($B371="",$L371=""),"",IFERROR(IF(INDEX(Obras!$H$5:$H$19,MATCH($B371,Obras!$A$5:$A$19,0))="","",IF(INDEX(Obras!$H$5:$H$19,MATCH($B371,Obras!$A$5:$A$19,0))&gt;$L371,"VENCIDA",IF($L371-INDEX(Obras!$H$5:$H$19,MATCH($B371,Obras!$A$5:$A$19,0))&lt;=0.5,"VENCE EM ATÉ 6 MESES","VIGENTE"))),""))</x:f>
      </x:c>
      <x:c r="N371" s="268"/>
    </x:row>
    <x:row r="372" ht="30" customHeight="1">
      <x:c r="A372" s="176" t="str">
        <x:f>IF(OR($B372="",$C372=""),"","LC-"&amp;TEXT(368,"0000"))</x:f>
      </x:c>
      <x:c r="B372" s="259"/>
      <x:c r="C372" s="259"/>
      <x:c r="D372" s="271" t="str">
        <x:f>IF($B372="","",IFERROR(IF(INDEX(Obras!$G$5:$G$19,MATCH($B372,Obras!$A$5:$A$19,0))="","",INDEX(Obras!$G$5:$G$19,MATCH($B372,Obras!$A$5:$A$19,0))),""))</x:f>
      </x:c>
      <x:c r="E372" s="259"/>
      <x:c r="F372" s="268"/>
      <x:c r="G372" s="259"/>
      <x:c r="H372" s="259"/>
      <x:c r="I372" s="259"/>
      <x:c r="J372" s="181" t="str">
        <x:f t="shared" si="10"/>
      </x:c>
      <x:c r="K372" s="176" t="str">
        <x:f t="shared" si="11"/>
      </x:c>
      <x:c r="L372" s="181" t="str">
        <x:f>IF($C372="","",IFERROR(IF(INDEX(Catalogo!$H$5:$H$86,MATCH($C372,Catalogo!$A$5:$A$86,0))="","",INDEX(Catalogo!$H$5:$H$86,MATCH($C372,Catalogo!$A$5:$A$86,0))),""))</x:f>
      </x:c>
      <x:c r="M372" s="176" t="str">
        <x:f>IF(OR($B372="",$L372=""),"",IFERROR(IF(INDEX(Obras!$H$5:$H$19,MATCH($B372,Obras!$A$5:$A$19,0))="","",IF(INDEX(Obras!$H$5:$H$19,MATCH($B372,Obras!$A$5:$A$19,0))&gt;$L372,"VENCIDA",IF($L372-INDEX(Obras!$H$5:$H$19,MATCH($B372,Obras!$A$5:$A$19,0))&lt;=0.5,"VENCE EM ATÉ 6 MESES","VIGENTE"))),""))</x:f>
      </x:c>
      <x:c r="N372" s="268"/>
    </x:row>
    <x:row r="373" ht="30" customHeight="1">
      <x:c r="A373" s="176" t="str">
        <x:f>IF(OR($B373="",$C373=""),"","LC-"&amp;TEXT(369,"0000"))</x:f>
      </x:c>
      <x:c r="B373" s="259"/>
      <x:c r="C373" s="259"/>
      <x:c r="D373" s="271" t="str">
        <x:f>IF($B373="","",IFERROR(IF(INDEX(Obras!$G$5:$G$19,MATCH($B373,Obras!$A$5:$A$19,0))="","",INDEX(Obras!$G$5:$G$19,MATCH($B373,Obras!$A$5:$A$19,0))),""))</x:f>
      </x:c>
      <x:c r="E373" s="259"/>
      <x:c r="F373" s="268"/>
      <x:c r="G373" s="259"/>
      <x:c r="H373" s="259"/>
      <x:c r="I373" s="259"/>
      <x:c r="J373" s="181" t="str">
        <x:f t="shared" si="10"/>
      </x:c>
      <x:c r="K373" s="176" t="str">
        <x:f t="shared" si="11"/>
      </x:c>
      <x:c r="L373" s="181" t="str">
        <x:f>IF($C373="","",IFERROR(IF(INDEX(Catalogo!$H$5:$H$86,MATCH($C373,Catalogo!$A$5:$A$86,0))="","",INDEX(Catalogo!$H$5:$H$86,MATCH($C373,Catalogo!$A$5:$A$86,0))),""))</x:f>
      </x:c>
      <x:c r="M373" s="176" t="str">
        <x:f>IF(OR($B373="",$L373=""),"",IFERROR(IF(INDEX(Obras!$H$5:$H$19,MATCH($B373,Obras!$A$5:$A$19,0))="","",IF(INDEX(Obras!$H$5:$H$19,MATCH($B373,Obras!$A$5:$A$19,0))&gt;$L373,"VENCIDA",IF($L373-INDEX(Obras!$H$5:$H$19,MATCH($B373,Obras!$A$5:$A$19,0))&lt;=0.5,"VENCE EM ATÉ 6 MESES","VIGENTE"))),""))</x:f>
      </x:c>
      <x:c r="N373" s="268"/>
    </x:row>
    <x:row r="374" ht="30" customHeight="1">
      <x:c r="A374" s="176" t="str">
        <x:f>IF(OR($B374="",$C374=""),"","LC-"&amp;TEXT(370,"0000"))</x:f>
      </x:c>
      <x:c r="B374" s="259"/>
      <x:c r="C374" s="259"/>
      <x:c r="D374" s="271" t="str">
        <x:f>IF($B374="","",IFERROR(IF(INDEX(Obras!$G$5:$G$19,MATCH($B374,Obras!$A$5:$A$19,0))="","",INDEX(Obras!$G$5:$G$19,MATCH($B374,Obras!$A$5:$A$19,0))),""))</x:f>
      </x:c>
      <x:c r="E374" s="259"/>
      <x:c r="F374" s="268"/>
      <x:c r="G374" s="259"/>
      <x:c r="H374" s="259"/>
      <x:c r="I374" s="259"/>
      <x:c r="J374" s="181" t="str">
        <x:f t="shared" si="10"/>
      </x:c>
      <x:c r="K374" s="176" t="str">
        <x:f t="shared" si="11"/>
      </x:c>
      <x:c r="L374" s="181" t="str">
        <x:f>IF($C374="","",IFERROR(IF(INDEX(Catalogo!$H$5:$H$86,MATCH($C374,Catalogo!$A$5:$A$86,0))="","",INDEX(Catalogo!$H$5:$H$86,MATCH($C374,Catalogo!$A$5:$A$86,0))),""))</x:f>
      </x:c>
      <x:c r="M374" s="176" t="str">
        <x:f>IF(OR($B374="",$L374=""),"",IFERROR(IF(INDEX(Obras!$H$5:$H$19,MATCH($B374,Obras!$A$5:$A$19,0))="","",IF(INDEX(Obras!$H$5:$H$19,MATCH($B374,Obras!$A$5:$A$19,0))&gt;$L374,"VENCIDA",IF($L374-INDEX(Obras!$H$5:$H$19,MATCH($B374,Obras!$A$5:$A$19,0))&lt;=0.5,"VENCE EM ATÉ 6 MESES","VIGENTE"))),""))</x:f>
      </x:c>
      <x:c r="N374" s="268"/>
    </x:row>
    <x:row r="375" ht="30" customHeight="1">
      <x:c r="A375" s="176" t="str">
        <x:f>IF(OR($B375="",$C375=""),"","LC-"&amp;TEXT(371,"0000"))</x:f>
      </x:c>
      <x:c r="B375" s="259"/>
      <x:c r="C375" s="259"/>
      <x:c r="D375" s="271" t="str">
        <x:f>IF($B375="","",IFERROR(IF(INDEX(Obras!$G$5:$G$19,MATCH($B375,Obras!$A$5:$A$19,0))="","",INDEX(Obras!$G$5:$G$19,MATCH($B375,Obras!$A$5:$A$19,0))),""))</x:f>
      </x:c>
      <x:c r="E375" s="259"/>
      <x:c r="F375" s="268"/>
      <x:c r="G375" s="259"/>
      <x:c r="H375" s="259"/>
      <x:c r="I375" s="259"/>
      <x:c r="J375" s="181" t="str">
        <x:f t="shared" si="10"/>
      </x:c>
      <x:c r="K375" s="176" t="str">
        <x:f t="shared" si="11"/>
      </x:c>
      <x:c r="L375" s="181" t="str">
        <x:f>IF($C375="","",IFERROR(IF(INDEX(Catalogo!$H$5:$H$86,MATCH($C375,Catalogo!$A$5:$A$86,0))="","",INDEX(Catalogo!$H$5:$H$86,MATCH($C375,Catalogo!$A$5:$A$86,0))),""))</x:f>
      </x:c>
      <x:c r="M375" s="176" t="str">
        <x:f>IF(OR($B375="",$L375=""),"",IFERROR(IF(INDEX(Obras!$H$5:$H$19,MATCH($B375,Obras!$A$5:$A$19,0))="","",IF(INDEX(Obras!$H$5:$H$19,MATCH($B375,Obras!$A$5:$A$19,0))&gt;$L375,"VENCIDA",IF($L375-INDEX(Obras!$H$5:$H$19,MATCH($B375,Obras!$A$5:$A$19,0))&lt;=0.5,"VENCE EM ATÉ 6 MESES","VIGENTE"))),""))</x:f>
      </x:c>
      <x:c r="N375" s="268"/>
    </x:row>
    <x:row r="376" ht="30" customHeight="1">
      <x:c r="A376" s="176" t="str">
        <x:f>IF(OR($B376="",$C376=""),"","LC-"&amp;TEXT(372,"0000"))</x:f>
      </x:c>
      <x:c r="B376" s="259"/>
      <x:c r="C376" s="259"/>
      <x:c r="D376" s="271" t="str">
        <x:f>IF($B376="","",IFERROR(IF(INDEX(Obras!$G$5:$G$19,MATCH($B376,Obras!$A$5:$A$19,0))="","",INDEX(Obras!$G$5:$G$19,MATCH($B376,Obras!$A$5:$A$19,0))),""))</x:f>
      </x:c>
      <x:c r="E376" s="259"/>
      <x:c r="F376" s="268"/>
      <x:c r="G376" s="259"/>
      <x:c r="H376" s="259"/>
      <x:c r="I376" s="259"/>
      <x:c r="J376" s="181" t="str">
        <x:f t="shared" si="10"/>
      </x:c>
      <x:c r="K376" s="176" t="str">
        <x:f t="shared" si="11"/>
      </x:c>
      <x:c r="L376" s="181" t="str">
        <x:f>IF($C376="","",IFERROR(IF(INDEX(Catalogo!$H$5:$H$86,MATCH($C376,Catalogo!$A$5:$A$86,0))="","",INDEX(Catalogo!$H$5:$H$86,MATCH($C376,Catalogo!$A$5:$A$86,0))),""))</x:f>
      </x:c>
      <x:c r="M376" s="176" t="str">
        <x:f>IF(OR($B376="",$L376=""),"",IFERROR(IF(INDEX(Obras!$H$5:$H$19,MATCH($B376,Obras!$A$5:$A$19,0))="","",IF(INDEX(Obras!$H$5:$H$19,MATCH($B376,Obras!$A$5:$A$19,0))&gt;$L376,"VENCIDA",IF($L376-INDEX(Obras!$H$5:$H$19,MATCH($B376,Obras!$A$5:$A$19,0))&lt;=0.5,"VENCE EM ATÉ 6 MESES","VIGENTE"))),""))</x:f>
      </x:c>
      <x:c r="N376" s="268"/>
    </x:row>
    <x:row r="377" ht="30" customHeight="1">
      <x:c r="A377" s="176" t="str">
        <x:f>IF(OR($B377="",$C377=""),"","LC-"&amp;TEXT(373,"0000"))</x:f>
      </x:c>
      <x:c r="B377" s="259"/>
      <x:c r="C377" s="259"/>
      <x:c r="D377" s="271" t="str">
        <x:f>IF($B377="","",IFERROR(IF(INDEX(Obras!$G$5:$G$19,MATCH($B377,Obras!$A$5:$A$19,0))="","",INDEX(Obras!$G$5:$G$19,MATCH($B377,Obras!$A$5:$A$19,0))),""))</x:f>
      </x:c>
      <x:c r="E377" s="259"/>
      <x:c r="F377" s="268"/>
      <x:c r="G377" s="259"/>
      <x:c r="H377" s="259"/>
      <x:c r="I377" s="259"/>
      <x:c r="J377" s="181" t="str">
        <x:f t="shared" si="10"/>
      </x:c>
      <x:c r="K377" s="176" t="str">
        <x:f t="shared" si="11"/>
      </x:c>
      <x:c r="L377" s="181" t="str">
        <x:f>IF($C377="","",IFERROR(IF(INDEX(Catalogo!$H$5:$H$86,MATCH($C377,Catalogo!$A$5:$A$86,0))="","",INDEX(Catalogo!$H$5:$H$86,MATCH($C377,Catalogo!$A$5:$A$86,0))),""))</x:f>
      </x:c>
      <x:c r="M377" s="176" t="str">
        <x:f>IF(OR($B377="",$L377=""),"",IFERROR(IF(INDEX(Obras!$H$5:$H$19,MATCH($B377,Obras!$A$5:$A$19,0))="","",IF(INDEX(Obras!$H$5:$H$19,MATCH($B377,Obras!$A$5:$A$19,0))&gt;$L377,"VENCIDA",IF($L377-INDEX(Obras!$H$5:$H$19,MATCH($B377,Obras!$A$5:$A$19,0))&lt;=0.5,"VENCE EM ATÉ 6 MESES","VIGENTE"))),""))</x:f>
      </x:c>
      <x:c r="N377" s="268"/>
    </x:row>
    <x:row r="378" ht="30" customHeight="1">
      <x:c r="A378" s="176" t="str">
        <x:f>IF(OR($B378="",$C378=""),"","LC-"&amp;TEXT(374,"0000"))</x:f>
      </x:c>
      <x:c r="B378" s="259"/>
      <x:c r="C378" s="259"/>
      <x:c r="D378" s="271" t="str">
        <x:f>IF($B378="","",IFERROR(IF(INDEX(Obras!$G$5:$G$19,MATCH($B378,Obras!$A$5:$A$19,0))="","",INDEX(Obras!$G$5:$G$19,MATCH($B378,Obras!$A$5:$A$19,0))),""))</x:f>
      </x:c>
      <x:c r="E378" s="259"/>
      <x:c r="F378" s="268"/>
      <x:c r="G378" s="259"/>
      <x:c r="H378" s="259"/>
      <x:c r="I378" s="259"/>
      <x:c r="J378" s="181" t="str">
        <x:f t="shared" si="10"/>
      </x:c>
      <x:c r="K378" s="176" t="str">
        <x:f t="shared" si="11"/>
      </x:c>
      <x:c r="L378" s="181" t="str">
        <x:f>IF($C378="","",IFERROR(IF(INDEX(Catalogo!$H$5:$H$86,MATCH($C378,Catalogo!$A$5:$A$86,0))="","",INDEX(Catalogo!$H$5:$H$86,MATCH($C378,Catalogo!$A$5:$A$86,0))),""))</x:f>
      </x:c>
      <x:c r="M378" s="176" t="str">
        <x:f>IF(OR($B378="",$L378=""),"",IFERROR(IF(INDEX(Obras!$H$5:$H$19,MATCH($B378,Obras!$A$5:$A$19,0))="","",IF(INDEX(Obras!$H$5:$H$19,MATCH($B378,Obras!$A$5:$A$19,0))&gt;$L378,"VENCIDA",IF($L378-INDEX(Obras!$H$5:$H$19,MATCH($B378,Obras!$A$5:$A$19,0))&lt;=0.5,"VENCE EM ATÉ 6 MESES","VIGENTE"))),""))</x:f>
      </x:c>
      <x:c r="N378" s="268"/>
    </x:row>
    <x:row r="379" ht="30" customHeight="1">
      <x:c r="A379" s="176" t="str">
        <x:f>IF(OR($B379="",$C379=""),"","LC-"&amp;TEXT(375,"0000"))</x:f>
      </x:c>
      <x:c r="B379" s="259"/>
      <x:c r="C379" s="259"/>
      <x:c r="D379" s="271" t="str">
        <x:f>IF($B379="","",IFERROR(IF(INDEX(Obras!$G$5:$G$19,MATCH($B379,Obras!$A$5:$A$19,0))="","",INDEX(Obras!$G$5:$G$19,MATCH($B379,Obras!$A$5:$A$19,0))),""))</x:f>
      </x:c>
      <x:c r="E379" s="259"/>
      <x:c r="F379" s="268"/>
      <x:c r="G379" s="259"/>
      <x:c r="H379" s="259"/>
      <x:c r="I379" s="259"/>
      <x:c r="J379" s="181" t="str">
        <x:f t="shared" si="10"/>
      </x:c>
      <x:c r="K379" s="176" t="str">
        <x:f t="shared" si="11"/>
      </x:c>
      <x:c r="L379" s="181" t="str">
        <x:f>IF($C379="","",IFERROR(IF(INDEX(Catalogo!$H$5:$H$86,MATCH($C379,Catalogo!$A$5:$A$86,0))="","",INDEX(Catalogo!$H$5:$H$86,MATCH($C379,Catalogo!$A$5:$A$86,0))),""))</x:f>
      </x:c>
      <x:c r="M379" s="176" t="str">
        <x:f>IF(OR($B379="",$L379=""),"",IFERROR(IF(INDEX(Obras!$H$5:$H$19,MATCH($B379,Obras!$A$5:$A$19,0))="","",IF(INDEX(Obras!$H$5:$H$19,MATCH($B379,Obras!$A$5:$A$19,0))&gt;$L379,"VENCIDA",IF($L379-INDEX(Obras!$H$5:$H$19,MATCH($B379,Obras!$A$5:$A$19,0))&lt;=0.5,"VENCE EM ATÉ 6 MESES","VIGENTE"))),""))</x:f>
      </x:c>
      <x:c r="N379" s="268"/>
    </x:row>
    <x:row r="380" ht="30" customHeight="1">
      <x:c r="A380" s="176" t="str">
        <x:f>IF(OR($B380="",$C380=""),"","LC-"&amp;TEXT(376,"0000"))</x:f>
      </x:c>
      <x:c r="B380" s="259"/>
      <x:c r="C380" s="259"/>
      <x:c r="D380" s="271" t="str">
        <x:f>IF($B380="","",IFERROR(IF(INDEX(Obras!$G$5:$G$19,MATCH($B380,Obras!$A$5:$A$19,0))="","",INDEX(Obras!$G$5:$G$19,MATCH($B380,Obras!$A$5:$A$19,0))),""))</x:f>
      </x:c>
      <x:c r="E380" s="259"/>
      <x:c r="F380" s="268"/>
      <x:c r="G380" s="259"/>
      <x:c r="H380" s="259"/>
      <x:c r="I380" s="259"/>
      <x:c r="J380" s="181" t="str">
        <x:f t="shared" si="10"/>
      </x:c>
      <x:c r="K380" s="176" t="str">
        <x:f t="shared" si="11"/>
      </x:c>
      <x:c r="L380" s="181" t="str">
        <x:f>IF($C380="","",IFERROR(IF(INDEX(Catalogo!$H$5:$H$86,MATCH($C380,Catalogo!$A$5:$A$86,0))="","",INDEX(Catalogo!$H$5:$H$86,MATCH($C380,Catalogo!$A$5:$A$86,0))),""))</x:f>
      </x:c>
      <x:c r="M380" s="176" t="str">
        <x:f>IF(OR($B380="",$L380=""),"",IFERROR(IF(INDEX(Obras!$H$5:$H$19,MATCH($B380,Obras!$A$5:$A$19,0))="","",IF(INDEX(Obras!$H$5:$H$19,MATCH($B380,Obras!$A$5:$A$19,0))&gt;$L380,"VENCIDA",IF($L380-INDEX(Obras!$H$5:$H$19,MATCH($B380,Obras!$A$5:$A$19,0))&lt;=0.5,"VENCE EM ATÉ 6 MESES","VIGENTE"))),""))</x:f>
      </x:c>
      <x:c r="N380" s="268"/>
    </x:row>
    <x:row r="381" ht="30" customHeight="1">
      <x:c r="A381" s="176" t="str">
        <x:f>IF(OR($B381="",$C381=""),"","LC-"&amp;TEXT(377,"0000"))</x:f>
      </x:c>
      <x:c r="B381" s="259"/>
      <x:c r="C381" s="259"/>
      <x:c r="D381" s="271" t="str">
        <x:f>IF($B381="","",IFERROR(IF(INDEX(Obras!$G$5:$G$19,MATCH($B381,Obras!$A$5:$A$19,0))="","",INDEX(Obras!$G$5:$G$19,MATCH($B381,Obras!$A$5:$A$19,0))),""))</x:f>
      </x:c>
      <x:c r="E381" s="259"/>
      <x:c r="F381" s="268"/>
      <x:c r="G381" s="259"/>
      <x:c r="H381" s="259"/>
      <x:c r="I381" s="259"/>
      <x:c r="J381" s="181" t="str">
        <x:f t="shared" si="10"/>
      </x:c>
      <x:c r="K381" s="176" t="str">
        <x:f t="shared" si="11"/>
      </x:c>
      <x:c r="L381" s="181" t="str">
        <x:f>IF($C381="","",IFERROR(IF(INDEX(Catalogo!$H$5:$H$86,MATCH($C381,Catalogo!$A$5:$A$86,0))="","",INDEX(Catalogo!$H$5:$H$86,MATCH($C381,Catalogo!$A$5:$A$86,0))),""))</x:f>
      </x:c>
      <x:c r="M381" s="176" t="str">
        <x:f>IF(OR($B381="",$L381=""),"",IFERROR(IF(INDEX(Obras!$H$5:$H$19,MATCH($B381,Obras!$A$5:$A$19,0))="","",IF(INDEX(Obras!$H$5:$H$19,MATCH($B381,Obras!$A$5:$A$19,0))&gt;$L381,"VENCIDA",IF($L381-INDEX(Obras!$H$5:$H$19,MATCH($B381,Obras!$A$5:$A$19,0))&lt;=0.5,"VENCE EM ATÉ 6 MESES","VIGENTE"))),""))</x:f>
      </x:c>
      <x:c r="N381" s="268"/>
    </x:row>
    <x:row r="382" ht="30" customHeight="1">
      <x:c r="A382" s="176" t="str">
        <x:f>IF(OR($B382="",$C382=""),"","LC-"&amp;TEXT(378,"0000"))</x:f>
      </x:c>
      <x:c r="B382" s="259"/>
      <x:c r="C382" s="259"/>
      <x:c r="D382" s="271" t="str">
        <x:f>IF($B382="","",IFERROR(IF(INDEX(Obras!$G$5:$G$19,MATCH($B382,Obras!$A$5:$A$19,0))="","",INDEX(Obras!$G$5:$G$19,MATCH($B382,Obras!$A$5:$A$19,0))),""))</x:f>
      </x:c>
      <x:c r="E382" s="259"/>
      <x:c r="F382" s="268"/>
      <x:c r="G382" s="259"/>
      <x:c r="H382" s="259"/>
      <x:c r="I382" s="259"/>
      <x:c r="J382" s="181" t="str">
        <x:f t="shared" si="10"/>
      </x:c>
      <x:c r="K382" s="176" t="str">
        <x:f t="shared" si="11"/>
      </x:c>
      <x:c r="L382" s="181" t="str">
        <x:f>IF($C382="","",IFERROR(IF(INDEX(Catalogo!$H$5:$H$86,MATCH($C382,Catalogo!$A$5:$A$86,0))="","",INDEX(Catalogo!$H$5:$H$86,MATCH($C382,Catalogo!$A$5:$A$86,0))),""))</x:f>
      </x:c>
      <x:c r="M382" s="176" t="str">
        <x:f>IF(OR($B382="",$L382=""),"",IFERROR(IF(INDEX(Obras!$H$5:$H$19,MATCH($B382,Obras!$A$5:$A$19,0))="","",IF(INDEX(Obras!$H$5:$H$19,MATCH($B382,Obras!$A$5:$A$19,0))&gt;$L382,"VENCIDA",IF($L382-INDEX(Obras!$H$5:$H$19,MATCH($B382,Obras!$A$5:$A$19,0))&lt;=0.5,"VENCE EM ATÉ 6 MESES","VIGENTE"))),""))</x:f>
      </x:c>
      <x:c r="N382" s="268"/>
    </x:row>
    <x:row r="383" ht="30" customHeight="1">
      <x:c r="A383" s="176" t="str">
        <x:f>IF(OR($B383="",$C383=""),"","LC-"&amp;TEXT(379,"0000"))</x:f>
      </x:c>
      <x:c r="B383" s="259"/>
      <x:c r="C383" s="259"/>
      <x:c r="D383" s="271" t="str">
        <x:f>IF($B383="","",IFERROR(IF(INDEX(Obras!$G$5:$G$19,MATCH($B383,Obras!$A$5:$A$19,0))="","",INDEX(Obras!$G$5:$G$19,MATCH($B383,Obras!$A$5:$A$19,0))),""))</x:f>
      </x:c>
      <x:c r="E383" s="259"/>
      <x:c r="F383" s="268"/>
      <x:c r="G383" s="259"/>
      <x:c r="H383" s="259"/>
      <x:c r="I383" s="259"/>
      <x:c r="J383" s="181" t="str">
        <x:f t="shared" si="10"/>
      </x:c>
      <x:c r="K383" s="176" t="str">
        <x:f t="shared" si="11"/>
      </x:c>
      <x:c r="L383" s="181" t="str">
        <x:f>IF($C383="","",IFERROR(IF(INDEX(Catalogo!$H$5:$H$86,MATCH($C383,Catalogo!$A$5:$A$86,0))="","",INDEX(Catalogo!$H$5:$H$86,MATCH($C383,Catalogo!$A$5:$A$86,0))),""))</x:f>
      </x:c>
      <x:c r="M383" s="176" t="str">
        <x:f>IF(OR($B383="",$L383=""),"",IFERROR(IF(INDEX(Obras!$H$5:$H$19,MATCH($B383,Obras!$A$5:$A$19,0))="","",IF(INDEX(Obras!$H$5:$H$19,MATCH($B383,Obras!$A$5:$A$19,0))&gt;$L383,"VENCIDA",IF($L383-INDEX(Obras!$H$5:$H$19,MATCH($B383,Obras!$A$5:$A$19,0))&lt;=0.5,"VENCE EM ATÉ 6 MESES","VIGENTE"))),""))</x:f>
      </x:c>
      <x:c r="N383" s="268"/>
    </x:row>
    <x:row r="384" ht="30" customHeight="1">
      <x:c r="A384" s="176" t="str">
        <x:f>IF(OR($B384="",$C384=""),"","LC-"&amp;TEXT(380,"0000"))</x:f>
      </x:c>
      <x:c r="B384" s="259"/>
      <x:c r="C384" s="259"/>
      <x:c r="D384" s="271" t="str">
        <x:f>IF($B384="","",IFERROR(IF(INDEX(Obras!$G$5:$G$19,MATCH($B384,Obras!$A$5:$A$19,0))="","",INDEX(Obras!$G$5:$G$19,MATCH($B384,Obras!$A$5:$A$19,0))),""))</x:f>
      </x:c>
      <x:c r="E384" s="259"/>
      <x:c r="F384" s="268"/>
      <x:c r="G384" s="259"/>
      <x:c r="H384" s="259"/>
      <x:c r="I384" s="259"/>
      <x:c r="J384" s="181" t="str">
        <x:f t="shared" si="10"/>
      </x:c>
      <x:c r="K384" s="176" t="str">
        <x:f t="shared" si="11"/>
      </x:c>
      <x:c r="L384" s="181" t="str">
        <x:f>IF($C384="","",IFERROR(IF(INDEX(Catalogo!$H$5:$H$86,MATCH($C384,Catalogo!$A$5:$A$86,0))="","",INDEX(Catalogo!$H$5:$H$86,MATCH($C384,Catalogo!$A$5:$A$86,0))),""))</x:f>
      </x:c>
      <x:c r="M384" s="176" t="str">
        <x:f>IF(OR($B384="",$L384=""),"",IFERROR(IF(INDEX(Obras!$H$5:$H$19,MATCH($B384,Obras!$A$5:$A$19,0))="","",IF(INDEX(Obras!$H$5:$H$19,MATCH($B384,Obras!$A$5:$A$19,0))&gt;$L384,"VENCIDA",IF($L384-INDEX(Obras!$H$5:$H$19,MATCH($B384,Obras!$A$5:$A$19,0))&lt;=0.5,"VENCE EM ATÉ 6 MESES","VIGENTE"))),""))</x:f>
      </x:c>
      <x:c r="N384" s="268"/>
    </x:row>
    <x:row r="385" ht="30" customHeight="1">
      <x:c r="A385" s="176" t="str">
        <x:f>IF(OR($B385="",$C385=""),"","LC-"&amp;TEXT(381,"0000"))</x:f>
      </x:c>
      <x:c r="B385" s="259"/>
      <x:c r="C385" s="259"/>
      <x:c r="D385" s="271" t="str">
        <x:f>IF($B385="","",IFERROR(IF(INDEX(Obras!$G$5:$G$19,MATCH($B385,Obras!$A$5:$A$19,0))="","",INDEX(Obras!$G$5:$G$19,MATCH($B385,Obras!$A$5:$A$19,0))),""))</x:f>
      </x:c>
      <x:c r="E385" s="259"/>
      <x:c r="F385" s="268"/>
      <x:c r="G385" s="259"/>
      <x:c r="H385" s="259"/>
      <x:c r="I385" s="259"/>
      <x:c r="J385" s="181" t="str">
        <x:f t="shared" si="10"/>
      </x:c>
      <x:c r="K385" s="176" t="str">
        <x:f t="shared" si="11"/>
      </x:c>
      <x:c r="L385" s="181" t="str">
        <x:f>IF($C385="","",IFERROR(IF(INDEX(Catalogo!$H$5:$H$86,MATCH($C385,Catalogo!$A$5:$A$86,0))="","",INDEX(Catalogo!$H$5:$H$86,MATCH($C385,Catalogo!$A$5:$A$86,0))),""))</x:f>
      </x:c>
      <x:c r="M385" s="176" t="str">
        <x:f>IF(OR($B385="",$L385=""),"",IFERROR(IF(INDEX(Obras!$H$5:$H$19,MATCH($B385,Obras!$A$5:$A$19,0))="","",IF(INDEX(Obras!$H$5:$H$19,MATCH($B385,Obras!$A$5:$A$19,0))&gt;$L385,"VENCIDA",IF($L385-INDEX(Obras!$H$5:$H$19,MATCH($B385,Obras!$A$5:$A$19,0))&lt;=0.5,"VENCE EM ATÉ 6 MESES","VIGENTE"))),""))</x:f>
      </x:c>
      <x:c r="N385" s="268"/>
    </x:row>
    <x:row r="386" ht="30" customHeight="1">
      <x:c r="A386" s="176" t="str">
        <x:f>IF(OR($B386="",$C386=""),"","LC-"&amp;TEXT(382,"0000"))</x:f>
      </x:c>
      <x:c r="B386" s="259"/>
      <x:c r="C386" s="259"/>
      <x:c r="D386" s="271" t="str">
        <x:f>IF($B386="","",IFERROR(IF(INDEX(Obras!$G$5:$G$19,MATCH($B386,Obras!$A$5:$A$19,0))="","",INDEX(Obras!$G$5:$G$19,MATCH($B386,Obras!$A$5:$A$19,0))),""))</x:f>
      </x:c>
      <x:c r="E386" s="259"/>
      <x:c r="F386" s="268"/>
      <x:c r="G386" s="259"/>
      <x:c r="H386" s="259"/>
      <x:c r="I386" s="259"/>
      <x:c r="J386" s="181" t="str">
        <x:f t="shared" si="10"/>
      </x:c>
      <x:c r="K386" s="176" t="str">
        <x:f t="shared" si="11"/>
      </x:c>
      <x:c r="L386" s="181" t="str">
        <x:f>IF($C386="","",IFERROR(IF(INDEX(Catalogo!$H$5:$H$86,MATCH($C386,Catalogo!$A$5:$A$86,0))="","",INDEX(Catalogo!$H$5:$H$86,MATCH($C386,Catalogo!$A$5:$A$86,0))),""))</x:f>
      </x:c>
      <x:c r="M386" s="176" t="str">
        <x:f>IF(OR($B386="",$L386=""),"",IFERROR(IF(INDEX(Obras!$H$5:$H$19,MATCH($B386,Obras!$A$5:$A$19,0))="","",IF(INDEX(Obras!$H$5:$H$19,MATCH($B386,Obras!$A$5:$A$19,0))&gt;$L386,"VENCIDA",IF($L386-INDEX(Obras!$H$5:$H$19,MATCH($B386,Obras!$A$5:$A$19,0))&lt;=0.5,"VENCE EM ATÉ 6 MESES","VIGENTE"))),""))</x:f>
      </x:c>
      <x:c r="N386" s="268"/>
    </x:row>
    <x:row r="387" ht="30" customHeight="1">
      <x:c r="A387" s="176" t="str">
        <x:f>IF(OR($B387="",$C387=""),"","LC-"&amp;TEXT(383,"0000"))</x:f>
      </x:c>
      <x:c r="B387" s="259"/>
      <x:c r="C387" s="259"/>
      <x:c r="D387" s="271" t="str">
        <x:f>IF($B387="","",IFERROR(IF(INDEX(Obras!$G$5:$G$19,MATCH($B387,Obras!$A$5:$A$19,0))="","",INDEX(Obras!$G$5:$G$19,MATCH($B387,Obras!$A$5:$A$19,0))),""))</x:f>
      </x:c>
      <x:c r="E387" s="259"/>
      <x:c r="F387" s="268"/>
      <x:c r="G387" s="259"/>
      <x:c r="H387" s="259"/>
      <x:c r="I387" s="259"/>
      <x:c r="J387" s="181" t="str">
        <x:f t="shared" si="10"/>
      </x:c>
      <x:c r="K387" s="176" t="str">
        <x:f t="shared" si="11"/>
      </x:c>
      <x:c r="L387" s="181" t="str">
        <x:f>IF($C387="","",IFERROR(IF(INDEX(Catalogo!$H$5:$H$86,MATCH($C387,Catalogo!$A$5:$A$86,0))="","",INDEX(Catalogo!$H$5:$H$86,MATCH($C387,Catalogo!$A$5:$A$86,0))),""))</x:f>
      </x:c>
      <x:c r="M387" s="176" t="str">
        <x:f>IF(OR($B387="",$L387=""),"",IFERROR(IF(INDEX(Obras!$H$5:$H$19,MATCH($B387,Obras!$A$5:$A$19,0))="","",IF(INDEX(Obras!$H$5:$H$19,MATCH($B387,Obras!$A$5:$A$19,0))&gt;$L387,"VENCIDA",IF($L387-INDEX(Obras!$H$5:$H$19,MATCH($B387,Obras!$A$5:$A$19,0))&lt;=0.5,"VENCE EM ATÉ 6 MESES","VIGENTE"))),""))</x:f>
      </x:c>
      <x:c r="N387" s="268"/>
    </x:row>
    <x:row r="388" ht="30" customHeight="1">
      <x:c r="A388" s="176" t="str">
        <x:f>IF(OR($B388="",$C388=""),"","LC-"&amp;TEXT(384,"0000"))</x:f>
      </x:c>
      <x:c r="B388" s="259"/>
      <x:c r="C388" s="259"/>
      <x:c r="D388" s="271" t="str">
        <x:f>IF($B388="","",IFERROR(IF(INDEX(Obras!$G$5:$G$19,MATCH($B388,Obras!$A$5:$A$19,0))="","",INDEX(Obras!$G$5:$G$19,MATCH($B388,Obras!$A$5:$A$19,0))),""))</x:f>
      </x:c>
      <x:c r="E388" s="259"/>
      <x:c r="F388" s="268"/>
      <x:c r="G388" s="259"/>
      <x:c r="H388" s="259"/>
      <x:c r="I388" s="259"/>
      <x:c r="J388" s="181" t="str">
        <x:f t="shared" si="10"/>
      </x:c>
      <x:c r="K388" s="176" t="str">
        <x:f t="shared" si="11"/>
      </x:c>
      <x:c r="L388" s="181" t="str">
        <x:f>IF($C388="","",IFERROR(IF(INDEX(Catalogo!$H$5:$H$86,MATCH($C388,Catalogo!$A$5:$A$86,0))="","",INDEX(Catalogo!$H$5:$H$86,MATCH($C388,Catalogo!$A$5:$A$86,0))),""))</x:f>
      </x:c>
      <x:c r="M388" s="176" t="str">
        <x:f>IF(OR($B388="",$L388=""),"",IFERROR(IF(INDEX(Obras!$H$5:$H$19,MATCH($B388,Obras!$A$5:$A$19,0))="","",IF(INDEX(Obras!$H$5:$H$19,MATCH($B388,Obras!$A$5:$A$19,0))&gt;$L388,"VENCIDA",IF($L388-INDEX(Obras!$H$5:$H$19,MATCH($B388,Obras!$A$5:$A$19,0))&lt;=0.5,"VENCE EM ATÉ 6 MESES","VIGENTE"))),""))</x:f>
      </x:c>
      <x:c r="N388" s="268"/>
    </x:row>
    <x:row r="389" ht="30" customHeight="1">
      <x:c r="A389" s="176" t="str">
        <x:f>IF(OR($B389="",$C389=""),"","LC-"&amp;TEXT(385,"0000"))</x:f>
      </x:c>
      <x:c r="B389" s="259"/>
      <x:c r="C389" s="259"/>
      <x:c r="D389" s="271" t="str">
        <x:f>IF($B389="","",IFERROR(IF(INDEX(Obras!$G$5:$G$19,MATCH($B389,Obras!$A$5:$A$19,0))="","",INDEX(Obras!$G$5:$G$19,MATCH($B389,Obras!$A$5:$A$19,0))),""))</x:f>
      </x:c>
      <x:c r="E389" s="259"/>
      <x:c r="F389" s="268"/>
      <x:c r="G389" s="259"/>
      <x:c r="H389" s="259"/>
      <x:c r="I389" s="259"/>
      <x:c r="J389" s="181" t="str">
        <x:f t="shared" ref="J389:J452" si="12">IF(COUNT($G389:$I389)=3,$G389*$H389*$I389,"")</x:f>
      </x:c>
      <x:c r="K389" s="176" t="str">
        <x:f t="shared" ref="K389:K452" si="13">IF($J389="","",IF($J389&gt;=512,"Prioridade 1",IF($J389&gt;=108,"Prioridade 2","Prioridade 3")))</x:f>
      </x:c>
      <x:c r="L389" s="181" t="str">
        <x:f>IF($C389="","",IFERROR(IF(INDEX(Catalogo!$H$5:$H$86,MATCH($C389,Catalogo!$A$5:$A$86,0))="","",INDEX(Catalogo!$H$5:$H$86,MATCH($C389,Catalogo!$A$5:$A$86,0))),""))</x:f>
      </x:c>
      <x:c r="M389" s="176" t="str">
        <x:f>IF(OR($B389="",$L389=""),"",IFERROR(IF(INDEX(Obras!$H$5:$H$19,MATCH($B389,Obras!$A$5:$A$19,0))="","",IF(INDEX(Obras!$H$5:$H$19,MATCH($B389,Obras!$A$5:$A$19,0))&gt;$L389,"VENCIDA",IF($L389-INDEX(Obras!$H$5:$H$19,MATCH($B389,Obras!$A$5:$A$19,0))&lt;=0.5,"VENCE EM ATÉ 6 MESES","VIGENTE"))),""))</x:f>
      </x:c>
      <x:c r="N389" s="268"/>
    </x:row>
    <x:row r="390" ht="30" customHeight="1">
      <x:c r="A390" s="176" t="str">
        <x:f>IF(OR($B390="",$C390=""),"","LC-"&amp;TEXT(386,"0000"))</x:f>
      </x:c>
      <x:c r="B390" s="259"/>
      <x:c r="C390" s="259"/>
      <x:c r="D390" s="271" t="str">
        <x:f>IF($B390="","",IFERROR(IF(INDEX(Obras!$G$5:$G$19,MATCH($B390,Obras!$A$5:$A$19,0))="","",INDEX(Obras!$G$5:$G$19,MATCH($B390,Obras!$A$5:$A$19,0))),""))</x:f>
      </x:c>
      <x:c r="E390" s="259"/>
      <x:c r="F390" s="268"/>
      <x:c r="G390" s="259"/>
      <x:c r="H390" s="259"/>
      <x:c r="I390" s="259"/>
      <x:c r="J390" s="181" t="str">
        <x:f t="shared" si="12"/>
      </x:c>
      <x:c r="K390" s="176" t="str">
        <x:f t="shared" si="13"/>
      </x:c>
      <x:c r="L390" s="181" t="str">
        <x:f>IF($C390="","",IFERROR(IF(INDEX(Catalogo!$H$5:$H$86,MATCH($C390,Catalogo!$A$5:$A$86,0))="","",INDEX(Catalogo!$H$5:$H$86,MATCH($C390,Catalogo!$A$5:$A$86,0))),""))</x:f>
      </x:c>
      <x:c r="M390" s="176" t="str">
        <x:f>IF(OR($B390="",$L390=""),"",IFERROR(IF(INDEX(Obras!$H$5:$H$19,MATCH($B390,Obras!$A$5:$A$19,0))="","",IF(INDEX(Obras!$H$5:$H$19,MATCH($B390,Obras!$A$5:$A$19,0))&gt;$L390,"VENCIDA",IF($L390-INDEX(Obras!$H$5:$H$19,MATCH($B390,Obras!$A$5:$A$19,0))&lt;=0.5,"VENCE EM ATÉ 6 MESES","VIGENTE"))),""))</x:f>
      </x:c>
      <x:c r="N390" s="268"/>
    </x:row>
    <x:row r="391" ht="30" customHeight="1">
      <x:c r="A391" s="176" t="str">
        <x:f>IF(OR($B391="",$C391=""),"","LC-"&amp;TEXT(387,"0000"))</x:f>
      </x:c>
      <x:c r="B391" s="259"/>
      <x:c r="C391" s="259"/>
      <x:c r="D391" s="271" t="str">
        <x:f>IF($B391="","",IFERROR(IF(INDEX(Obras!$G$5:$G$19,MATCH($B391,Obras!$A$5:$A$19,0))="","",INDEX(Obras!$G$5:$G$19,MATCH($B391,Obras!$A$5:$A$19,0))),""))</x:f>
      </x:c>
      <x:c r="E391" s="259"/>
      <x:c r="F391" s="268"/>
      <x:c r="G391" s="259"/>
      <x:c r="H391" s="259"/>
      <x:c r="I391" s="259"/>
      <x:c r="J391" s="181" t="str">
        <x:f t="shared" si="12"/>
      </x:c>
      <x:c r="K391" s="176" t="str">
        <x:f t="shared" si="13"/>
      </x:c>
      <x:c r="L391" s="181" t="str">
        <x:f>IF($C391="","",IFERROR(IF(INDEX(Catalogo!$H$5:$H$86,MATCH($C391,Catalogo!$A$5:$A$86,0))="","",INDEX(Catalogo!$H$5:$H$86,MATCH($C391,Catalogo!$A$5:$A$86,0))),""))</x:f>
      </x:c>
      <x:c r="M391" s="176" t="str">
        <x:f>IF(OR($B391="",$L391=""),"",IFERROR(IF(INDEX(Obras!$H$5:$H$19,MATCH($B391,Obras!$A$5:$A$19,0))="","",IF(INDEX(Obras!$H$5:$H$19,MATCH($B391,Obras!$A$5:$A$19,0))&gt;$L391,"VENCIDA",IF($L391-INDEX(Obras!$H$5:$H$19,MATCH($B391,Obras!$A$5:$A$19,0))&lt;=0.5,"VENCE EM ATÉ 6 MESES","VIGENTE"))),""))</x:f>
      </x:c>
      <x:c r="N391" s="268"/>
    </x:row>
    <x:row r="392" ht="30" customHeight="1">
      <x:c r="A392" s="176" t="str">
        <x:f>IF(OR($B392="",$C392=""),"","LC-"&amp;TEXT(388,"0000"))</x:f>
      </x:c>
      <x:c r="B392" s="259"/>
      <x:c r="C392" s="259"/>
      <x:c r="D392" s="271" t="str">
        <x:f>IF($B392="","",IFERROR(IF(INDEX(Obras!$G$5:$G$19,MATCH($B392,Obras!$A$5:$A$19,0))="","",INDEX(Obras!$G$5:$G$19,MATCH($B392,Obras!$A$5:$A$19,0))),""))</x:f>
      </x:c>
      <x:c r="E392" s="259"/>
      <x:c r="F392" s="268"/>
      <x:c r="G392" s="259"/>
      <x:c r="H392" s="259"/>
      <x:c r="I392" s="259"/>
      <x:c r="J392" s="181" t="str">
        <x:f t="shared" si="12"/>
      </x:c>
      <x:c r="K392" s="176" t="str">
        <x:f t="shared" si="13"/>
      </x:c>
      <x:c r="L392" s="181" t="str">
        <x:f>IF($C392="","",IFERROR(IF(INDEX(Catalogo!$H$5:$H$86,MATCH($C392,Catalogo!$A$5:$A$86,0))="","",INDEX(Catalogo!$H$5:$H$86,MATCH($C392,Catalogo!$A$5:$A$86,0))),""))</x:f>
      </x:c>
      <x:c r="M392" s="176" t="str">
        <x:f>IF(OR($B392="",$L392=""),"",IFERROR(IF(INDEX(Obras!$H$5:$H$19,MATCH($B392,Obras!$A$5:$A$19,0))="","",IF(INDEX(Obras!$H$5:$H$19,MATCH($B392,Obras!$A$5:$A$19,0))&gt;$L392,"VENCIDA",IF($L392-INDEX(Obras!$H$5:$H$19,MATCH($B392,Obras!$A$5:$A$19,0))&lt;=0.5,"VENCE EM ATÉ 6 MESES","VIGENTE"))),""))</x:f>
      </x:c>
      <x:c r="N392" s="268"/>
    </x:row>
    <x:row r="393" ht="30" customHeight="1">
      <x:c r="A393" s="176" t="str">
        <x:f>IF(OR($B393="",$C393=""),"","LC-"&amp;TEXT(389,"0000"))</x:f>
      </x:c>
      <x:c r="B393" s="259"/>
      <x:c r="C393" s="259"/>
      <x:c r="D393" s="271" t="str">
        <x:f>IF($B393="","",IFERROR(IF(INDEX(Obras!$G$5:$G$19,MATCH($B393,Obras!$A$5:$A$19,0))="","",INDEX(Obras!$G$5:$G$19,MATCH($B393,Obras!$A$5:$A$19,0))),""))</x:f>
      </x:c>
      <x:c r="E393" s="259"/>
      <x:c r="F393" s="268"/>
      <x:c r="G393" s="259"/>
      <x:c r="H393" s="259"/>
      <x:c r="I393" s="259"/>
      <x:c r="J393" s="181" t="str">
        <x:f t="shared" si="12"/>
      </x:c>
      <x:c r="K393" s="176" t="str">
        <x:f t="shared" si="13"/>
      </x:c>
      <x:c r="L393" s="181" t="str">
        <x:f>IF($C393="","",IFERROR(IF(INDEX(Catalogo!$H$5:$H$86,MATCH($C393,Catalogo!$A$5:$A$86,0))="","",INDEX(Catalogo!$H$5:$H$86,MATCH($C393,Catalogo!$A$5:$A$86,0))),""))</x:f>
      </x:c>
      <x:c r="M393" s="176" t="str">
        <x:f>IF(OR($B393="",$L393=""),"",IFERROR(IF(INDEX(Obras!$H$5:$H$19,MATCH($B393,Obras!$A$5:$A$19,0))="","",IF(INDEX(Obras!$H$5:$H$19,MATCH($B393,Obras!$A$5:$A$19,0))&gt;$L393,"VENCIDA",IF($L393-INDEX(Obras!$H$5:$H$19,MATCH($B393,Obras!$A$5:$A$19,0))&lt;=0.5,"VENCE EM ATÉ 6 MESES","VIGENTE"))),""))</x:f>
      </x:c>
      <x:c r="N393" s="268"/>
    </x:row>
    <x:row r="394" ht="30" customHeight="1">
      <x:c r="A394" s="176" t="str">
        <x:f>IF(OR($B394="",$C394=""),"","LC-"&amp;TEXT(390,"0000"))</x:f>
      </x:c>
      <x:c r="B394" s="259"/>
      <x:c r="C394" s="259"/>
      <x:c r="D394" s="271" t="str">
        <x:f>IF($B394="","",IFERROR(IF(INDEX(Obras!$G$5:$G$19,MATCH($B394,Obras!$A$5:$A$19,0))="","",INDEX(Obras!$G$5:$G$19,MATCH($B394,Obras!$A$5:$A$19,0))),""))</x:f>
      </x:c>
      <x:c r="E394" s="259"/>
      <x:c r="F394" s="268"/>
      <x:c r="G394" s="259"/>
      <x:c r="H394" s="259"/>
      <x:c r="I394" s="259"/>
      <x:c r="J394" s="181" t="str">
        <x:f t="shared" si="12"/>
      </x:c>
      <x:c r="K394" s="176" t="str">
        <x:f t="shared" si="13"/>
      </x:c>
      <x:c r="L394" s="181" t="str">
        <x:f>IF($C394="","",IFERROR(IF(INDEX(Catalogo!$H$5:$H$86,MATCH($C394,Catalogo!$A$5:$A$86,0))="","",INDEX(Catalogo!$H$5:$H$86,MATCH($C394,Catalogo!$A$5:$A$86,0))),""))</x:f>
      </x:c>
      <x:c r="M394" s="176" t="str">
        <x:f>IF(OR($B394="",$L394=""),"",IFERROR(IF(INDEX(Obras!$H$5:$H$19,MATCH($B394,Obras!$A$5:$A$19,0))="","",IF(INDEX(Obras!$H$5:$H$19,MATCH($B394,Obras!$A$5:$A$19,0))&gt;$L394,"VENCIDA",IF($L394-INDEX(Obras!$H$5:$H$19,MATCH($B394,Obras!$A$5:$A$19,0))&lt;=0.5,"VENCE EM ATÉ 6 MESES","VIGENTE"))),""))</x:f>
      </x:c>
      <x:c r="N394" s="268"/>
    </x:row>
    <x:row r="395" ht="30" customHeight="1">
      <x:c r="A395" s="176" t="str">
        <x:f>IF(OR($B395="",$C395=""),"","LC-"&amp;TEXT(391,"0000"))</x:f>
      </x:c>
      <x:c r="B395" s="259"/>
      <x:c r="C395" s="259"/>
      <x:c r="D395" s="271" t="str">
        <x:f>IF($B395="","",IFERROR(IF(INDEX(Obras!$G$5:$G$19,MATCH($B395,Obras!$A$5:$A$19,0))="","",INDEX(Obras!$G$5:$G$19,MATCH($B395,Obras!$A$5:$A$19,0))),""))</x:f>
      </x:c>
      <x:c r="E395" s="259"/>
      <x:c r="F395" s="268"/>
      <x:c r="G395" s="259"/>
      <x:c r="H395" s="259"/>
      <x:c r="I395" s="259"/>
      <x:c r="J395" s="181" t="str">
        <x:f t="shared" si="12"/>
      </x:c>
      <x:c r="K395" s="176" t="str">
        <x:f t="shared" si="13"/>
      </x:c>
      <x:c r="L395" s="181" t="str">
        <x:f>IF($C395="","",IFERROR(IF(INDEX(Catalogo!$H$5:$H$86,MATCH($C395,Catalogo!$A$5:$A$86,0))="","",INDEX(Catalogo!$H$5:$H$86,MATCH($C395,Catalogo!$A$5:$A$86,0))),""))</x:f>
      </x:c>
      <x:c r="M395" s="176" t="str">
        <x:f>IF(OR($B395="",$L395=""),"",IFERROR(IF(INDEX(Obras!$H$5:$H$19,MATCH($B395,Obras!$A$5:$A$19,0))="","",IF(INDEX(Obras!$H$5:$H$19,MATCH($B395,Obras!$A$5:$A$19,0))&gt;$L395,"VENCIDA",IF($L395-INDEX(Obras!$H$5:$H$19,MATCH($B395,Obras!$A$5:$A$19,0))&lt;=0.5,"VENCE EM ATÉ 6 MESES","VIGENTE"))),""))</x:f>
      </x:c>
      <x:c r="N395" s="268"/>
    </x:row>
    <x:row r="396" ht="30" customHeight="1">
      <x:c r="A396" s="176" t="str">
        <x:f>IF(OR($B396="",$C396=""),"","LC-"&amp;TEXT(392,"0000"))</x:f>
      </x:c>
      <x:c r="B396" s="259"/>
      <x:c r="C396" s="259"/>
      <x:c r="D396" s="271" t="str">
        <x:f>IF($B396="","",IFERROR(IF(INDEX(Obras!$G$5:$G$19,MATCH($B396,Obras!$A$5:$A$19,0))="","",INDEX(Obras!$G$5:$G$19,MATCH($B396,Obras!$A$5:$A$19,0))),""))</x:f>
      </x:c>
      <x:c r="E396" s="259"/>
      <x:c r="F396" s="268"/>
      <x:c r="G396" s="259"/>
      <x:c r="H396" s="259"/>
      <x:c r="I396" s="259"/>
      <x:c r="J396" s="181" t="str">
        <x:f t="shared" si="12"/>
      </x:c>
      <x:c r="K396" s="176" t="str">
        <x:f t="shared" si="13"/>
      </x:c>
      <x:c r="L396" s="181" t="str">
        <x:f>IF($C396="","",IFERROR(IF(INDEX(Catalogo!$H$5:$H$86,MATCH($C396,Catalogo!$A$5:$A$86,0))="","",INDEX(Catalogo!$H$5:$H$86,MATCH($C396,Catalogo!$A$5:$A$86,0))),""))</x:f>
      </x:c>
      <x:c r="M396" s="176" t="str">
        <x:f>IF(OR($B396="",$L396=""),"",IFERROR(IF(INDEX(Obras!$H$5:$H$19,MATCH($B396,Obras!$A$5:$A$19,0))="","",IF(INDEX(Obras!$H$5:$H$19,MATCH($B396,Obras!$A$5:$A$19,0))&gt;$L396,"VENCIDA",IF($L396-INDEX(Obras!$H$5:$H$19,MATCH($B396,Obras!$A$5:$A$19,0))&lt;=0.5,"VENCE EM ATÉ 6 MESES","VIGENTE"))),""))</x:f>
      </x:c>
      <x:c r="N396" s="268"/>
    </x:row>
    <x:row r="397" ht="30" customHeight="1">
      <x:c r="A397" s="176" t="str">
        <x:f>IF(OR($B397="",$C397=""),"","LC-"&amp;TEXT(393,"0000"))</x:f>
      </x:c>
      <x:c r="B397" s="259"/>
      <x:c r="C397" s="259"/>
      <x:c r="D397" s="271" t="str">
        <x:f>IF($B397="","",IFERROR(IF(INDEX(Obras!$G$5:$G$19,MATCH($B397,Obras!$A$5:$A$19,0))="","",INDEX(Obras!$G$5:$G$19,MATCH($B397,Obras!$A$5:$A$19,0))),""))</x:f>
      </x:c>
      <x:c r="E397" s="259"/>
      <x:c r="F397" s="268"/>
      <x:c r="G397" s="259"/>
      <x:c r="H397" s="259"/>
      <x:c r="I397" s="259"/>
      <x:c r="J397" s="181" t="str">
        <x:f t="shared" si="12"/>
      </x:c>
      <x:c r="K397" s="176" t="str">
        <x:f t="shared" si="13"/>
      </x:c>
      <x:c r="L397" s="181" t="str">
        <x:f>IF($C397="","",IFERROR(IF(INDEX(Catalogo!$H$5:$H$86,MATCH($C397,Catalogo!$A$5:$A$86,0))="","",INDEX(Catalogo!$H$5:$H$86,MATCH($C397,Catalogo!$A$5:$A$86,0))),""))</x:f>
      </x:c>
      <x:c r="M397" s="176" t="str">
        <x:f>IF(OR($B397="",$L397=""),"",IFERROR(IF(INDEX(Obras!$H$5:$H$19,MATCH($B397,Obras!$A$5:$A$19,0))="","",IF(INDEX(Obras!$H$5:$H$19,MATCH($B397,Obras!$A$5:$A$19,0))&gt;$L397,"VENCIDA",IF($L397-INDEX(Obras!$H$5:$H$19,MATCH($B397,Obras!$A$5:$A$19,0))&lt;=0.5,"VENCE EM ATÉ 6 MESES","VIGENTE"))),""))</x:f>
      </x:c>
      <x:c r="N397" s="268"/>
    </x:row>
    <x:row r="398" ht="30" customHeight="1">
      <x:c r="A398" s="176" t="str">
        <x:f>IF(OR($B398="",$C398=""),"","LC-"&amp;TEXT(394,"0000"))</x:f>
      </x:c>
      <x:c r="B398" s="259"/>
      <x:c r="C398" s="259"/>
      <x:c r="D398" s="271" t="str">
        <x:f>IF($B398="","",IFERROR(IF(INDEX(Obras!$G$5:$G$19,MATCH($B398,Obras!$A$5:$A$19,0))="","",INDEX(Obras!$G$5:$G$19,MATCH($B398,Obras!$A$5:$A$19,0))),""))</x:f>
      </x:c>
      <x:c r="E398" s="259"/>
      <x:c r="F398" s="268"/>
      <x:c r="G398" s="259"/>
      <x:c r="H398" s="259"/>
      <x:c r="I398" s="259"/>
      <x:c r="J398" s="181" t="str">
        <x:f t="shared" si="12"/>
      </x:c>
      <x:c r="K398" s="176" t="str">
        <x:f t="shared" si="13"/>
      </x:c>
      <x:c r="L398" s="181" t="str">
        <x:f>IF($C398="","",IFERROR(IF(INDEX(Catalogo!$H$5:$H$86,MATCH($C398,Catalogo!$A$5:$A$86,0))="","",INDEX(Catalogo!$H$5:$H$86,MATCH($C398,Catalogo!$A$5:$A$86,0))),""))</x:f>
      </x:c>
      <x:c r="M398" s="176" t="str">
        <x:f>IF(OR($B398="",$L398=""),"",IFERROR(IF(INDEX(Obras!$H$5:$H$19,MATCH($B398,Obras!$A$5:$A$19,0))="","",IF(INDEX(Obras!$H$5:$H$19,MATCH($B398,Obras!$A$5:$A$19,0))&gt;$L398,"VENCIDA",IF($L398-INDEX(Obras!$H$5:$H$19,MATCH($B398,Obras!$A$5:$A$19,0))&lt;=0.5,"VENCE EM ATÉ 6 MESES","VIGENTE"))),""))</x:f>
      </x:c>
      <x:c r="N398" s="268"/>
    </x:row>
    <x:row r="399" ht="30" customHeight="1">
      <x:c r="A399" s="176" t="str">
        <x:f>IF(OR($B399="",$C399=""),"","LC-"&amp;TEXT(395,"0000"))</x:f>
      </x:c>
      <x:c r="B399" s="259"/>
      <x:c r="C399" s="259"/>
      <x:c r="D399" s="271" t="str">
        <x:f>IF($B399="","",IFERROR(IF(INDEX(Obras!$G$5:$G$19,MATCH($B399,Obras!$A$5:$A$19,0))="","",INDEX(Obras!$G$5:$G$19,MATCH($B399,Obras!$A$5:$A$19,0))),""))</x:f>
      </x:c>
      <x:c r="E399" s="259"/>
      <x:c r="F399" s="268"/>
      <x:c r="G399" s="259"/>
      <x:c r="H399" s="259"/>
      <x:c r="I399" s="259"/>
      <x:c r="J399" s="181" t="str">
        <x:f t="shared" si="12"/>
      </x:c>
      <x:c r="K399" s="176" t="str">
        <x:f t="shared" si="13"/>
      </x:c>
      <x:c r="L399" s="181" t="str">
        <x:f>IF($C399="","",IFERROR(IF(INDEX(Catalogo!$H$5:$H$86,MATCH($C399,Catalogo!$A$5:$A$86,0))="","",INDEX(Catalogo!$H$5:$H$86,MATCH($C399,Catalogo!$A$5:$A$86,0))),""))</x:f>
      </x:c>
      <x:c r="M399" s="176" t="str">
        <x:f>IF(OR($B399="",$L399=""),"",IFERROR(IF(INDEX(Obras!$H$5:$H$19,MATCH($B399,Obras!$A$5:$A$19,0))="","",IF(INDEX(Obras!$H$5:$H$19,MATCH($B399,Obras!$A$5:$A$19,0))&gt;$L399,"VENCIDA",IF($L399-INDEX(Obras!$H$5:$H$19,MATCH($B399,Obras!$A$5:$A$19,0))&lt;=0.5,"VENCE EM ATÉ 6 MESES","VIGENTE"))),""))</x:f>
      </x:c>
      <x:c r="N399" s="268"/>
    </x:row>
    <x:row r="400" ht="30" customHeight="1">
      <x:c r="A400" s="176" t="str">
        <x:f>IF(OR($B400="",$C400=""),"","LC-"&amp;TEXT(396,"0000"))</x:f>
      </x:c>
      <x:c r="B400" s="259"/>
      <x:c r="C400" s="259"/>
      <x:c r="D400" s="271" t="str">
        <x:f>IF($B400="","",IFERROR(IF(INDEX(Obras!$G$5:$G$19,MATCH($B400,Obras!$A$5:$A$19,0))="","",INDEX(Obras!$G$5:$G$19,MATCH($B400,Obras!$A$5:$A$19,0))),""))</x:f>
      </x:c>
      <x:c r="E400" s="259"/>
      <x:c r="F400" s="268"/>
      <x:c r="G400" s="259"/>
      <x:c r="H400" s="259"/>
      <x:c r="I400" s="259"/>
      <x:c r="J400" s="181" t="str">
        <x:f t="shared" si="12"/>
      </x:c>
      <x:c r="K400" s="176" t="str">
        <x:f t="shared" si="13"/>
      </x:c>
      <x:c r="L400" s="181" t="str">
        <x:f>IF($C400="","",IFERROR(IF(INDEX(Catalogo!$H$5:$H$86,MATCH($C400,Catalogo!$A$5:$A$86,0))="","",INDEX(Catalogo!$H$5:$H$86,MATCH($C400,Catalogo!$A$5:$A$86,0))),""))</x:f>
      </x:c>
      <x:c r="M400" s="176" t="str">
        <x:f>IF(OR($B400="",$L400=""),"",IFERROR(IF(INDEX(Obras!$H$5:$H$19,MATCH($B400,Obras!$A$5:$A$19,0))="","",IF(INDEX(Obras!$H$5:$H$19,MATCH($B400,Obras!$A$5:$A$19,0))&gt;$L400,"VENCIDA",IF($L400-INDEX(Obras!$H$5:$H$19,MATCH($B400,Obras!$A$5:$A$19,0))&lt;=0.5,"VENCE EM ATÉ 6 MESES","VIGENTE"))),""))</x:f>
      </x:c>
      <x:c r="N400" s="268"/>
    </x:row>
    <x:row r="401" ht="30" customHeight="1">
      <x:c r="A401" s="176" t="str">
        <x:f>IF(OR($B401="",$C401=""),"","LC-"&amp;TEXT(397,"0000"))</x:f>
      </x:c>
      <x:c r="B401" s="259"/>
      <x:c r="C401" s="259"/>
      <x:c r="D401" s="271" t="str">
        <x:f>IF($B401="","",IFERROR(IF(INDEX(Obras!$G$5:$G$19,MATCH($B401,Obras!$A$5:$A$19,0))="","",INDEX(Obras!$G$5:$G$19,MATCH($B401,Obras!$A$5:$A$19,0))),""))</x:f>
      </x:c>
      <x:c r="E401" s="259"/>
      <x:c r="F401" s="268"/>
      <x:c r="G401" s="259"/>
      <x:c r="H401" s="259"/>
      <x:c r="I401" s="259"/>
      <x:c r="J401" s="181" t="str">
        <x:f t="shared" si="12"/>
      </x:c>
      <x:c r="K401" s="176" t="str">
        <x:f t="shared" si="13"/>
      </x:c>
      <x:c r="L401" s="181" t="str">
        <x:f>IF($C401="","",IFERROR(IF(INDEX(Catalogo!$H$5:$H$86,MATCH($C401,Catalogo!$A$5:$A$86,0))="","",INDEX(Catalogo!$H$5:$H$86,MATCH($C401,Catalogo!$A$5:$A$86,0))),""))</x:f>
      </x:c>
      <x:c r="M401" s="176" t="str">
        <x:f>IF(OR($B401="",$L401=""),"",IFERROR(IF(INDEX(Obras!$H$5:$H$19,MATCH($B401,Obras!$A$5:$A$19,0))="","",IF(INDEX(Obras!$H$5:$H$19,MATCH($B401,Obras!$A$5:$A$19,0))&gt;$L401,"VENCIDA",IF($L401-INDEX(Obras!$H$5:$H$19,MATCH($B401,Obras!$A$5:$A$19,0))&lt;=0.5,"VENCE EM ATÉ 6 MESES","VIGENTE"))),""))</x:f>
      </x:c>
      <x:c r="N401" s="268"/>
    </x:row>
    <x:row r="402" ht="30" customHeight="1">
      <x:c r="A402" s="176" t="str">
        <x:f>IF(OR($B402="",$C402=""),"","LC-"&amp;TEXT(398,"0000"))</x:f>
      </x:c>
      <x:c r="B402" s="259"/>
      <x:c r="C402" s="259"/>
      <x:c r="D402" s="271" t="str">
        <x:f>IF($B402="","",IFERROR(IF(INDEX(Obras!$G$5:$G$19,MATCH($B402,Obras!$A$5:$A$19,0))="","",INDEX(Obras!$G$5:$G$19,MATCH($B402,Obras!$A$5:$A$19,0))),""))</x:f>
      </x:c>
      <x:c r="E402" s="259"/>
      <x:c r="F402" s="268"/>
      <x:c r="G402" s="259"/>
      <x:c r="H402" s="259"/>
      <x:c r="I402" s="259"/>
      <x:c r="J402" s="181" t="str">
        <x:f t="shared" si="12"/>
      </x:c>
      <x:c r="K402" s="176" t="str">
        <x:f t="shared" si="13"/>
      </x:c>
      <x:c r="L402" s="181" t="str">
        <x:f>IF($C402="","",IFERROR(IF(INDEX(Catalogo!$H$5:$H$86,MATCH($C402,Catalogo!$A$5:$A$86,0))="","",INDEX(Catalogo!$H$5:$H$86,MATCH($C402,Catalogo!$A$5:$A$86,0))),""))</x:f>
      </x:c>
      <x:c r="M402" s="176" t="str">
        <x:f>IF(OR($B402="",$L402=""),"",IFERROR(IF(INDEX(Obras!$H$5:$H$19,MATCH($B402,Obras!$A$5:$A$19,0))="","",IF(INDEX(Obras!$H$5:$H$19,MATCH($B402,Obras!$A$5:$A$19,0))&gt;$L402,"VENCIDA",IF($L402-INDEX(Obras!$H$5:$H$19,MATCH($B402,Obras!$A$5:$A$19,0))&lt;=0.5,"VENCE EM ATÉ 6 MESES","VIGENTE"))),""))</x:f>
      </x:c>
      <x:c r="N402" s="268"/>
    </x:row>
    <x:row r="403" ht="30" customHeight="1">
      <x:c r="A403" s="176" t="str">
        <x:f>IF(OR($B403="",$C403=""),"","LC-"&amp;TEXT(399,"0000"))</x:f>
      </x:c>
      <x:c r="B403" s="259"/>
      <x:c r="C403" s="259"/>
      <x:c r="D403" s="271" t="str">
        <x:f>IF($B403="","",IFERROR(IF(INDEX(Obras!$G$5:$G$19,MATCH($B403,Obras!$A$5:$A$19,0))="","",INDEX(Obras!$G$5:$G$19,MATCH($B403,Obras!$A$5:$A$19,0))),""))</x:f>
      </x:c>
      <x:c r="E403" s="259"/>
      <x:c r="F403" s="268"/>
      <x:c r="G403" s="259"/>
      <x:c r="H403" s="259"/>
      <x:c r="I403" s="259"/>
      <x:c r="J403" s="181" t="str">
        <x:f t="shared" si="12"/>
      </x:c>
      <x:c r="K403" s="176" t="str">
        <x:f t="shared" si="13"/>
      </x:c>
      <x:c r="L403" s="181" t="str">
        <x:f>IF($C403="","",IFERROR(IF(INDEX(Catalogo!$H$5:$H$86,MATCH($C403,Catalogo!$A$5:$A$86,0))="","",INDEX(Catalogo!$H$5:$H$86,MATCH($C403,Catalogo!$A$5:$A$86,0))),""))</x:f>
      </x:c>
      <x:c r="M403" s="176" t="str">
        <x:f>IF(OR($B403="",$L403=""),"",IFERROR(IF(INDEX(Obras!$H$5:$H$19,MATCH($B403,Obras!$A$5:$A$19,0))="","",IF(INDEX(Obras!$H$5:$H$19,MATCH($B403,Obras!$A$5:$A$19,0))&gt;$L403,"VENCIDA",IF($L403-INDEX(Obras!$H$5:$H$19,MATCH($B403,Obras!$A$5:$A$19,0))&lt;=0.5,"VENCE EM ATÉ 6 MESES","VIGENTE"))),""))</x:f>
      </x:c>
      <x:c r="N403" s="268"/>
    </x:row>
    <x:row r="404" ht="30" customHeight="1">
      <x:c r="A404" s="176" t="str">
        <x:f>IF(OR($B404="",$C404=""),"","LC-"&amp;TEXT(400,"0000"))</x:f>
      </x:c>
      <x:c r="B404" s="259"/>
      <x:c r="C404" s="259"/>
      <x:c r="D404" s="271" t="str">
        <x:f>IF($B404="","",IFERROR(IF(INDEX(Obras!$G$5:$G$19,MATCH($B404,Obras!$A$5:$A$19,0))="","",INDEX(Obras!$G$5:$G$19,MATCH($B404,Obras!$A$5:$A$19,0))),""))</x:f>
      </x:c>
      <x:c r="E404" s="259"/>
      <x:c r="F404" s="268"/>
      <x:c r="G404" s="259"/>
      <x:c r="H404" s="259"/>
      <x:c r="I404" s="259"/>
      <x:c r="J404" s="181" t="str">
        <x:f t="shared" si="12"/>
      </x:c>
      <x:c r="K404" s="176" t="str">
        <x:f t="shared" si="13"/>
      </x:c>
      <x:c r="L404" s="181" t="str">
        <x:f>IF($C404="","",IFERROR(IF(INDEX(Catalogo!$H$5:$H$86,MATCH($C404,Catalogo!$A$5:$A$86,0))="","",INDEX(Catalogo!$H$5:$H$86,MATCH($C404,Catalogo!$A$5:$A$86,0))),""))</x:f>
      </x:c>
      <x:c r="M404" s="176" t="str">
        <x:f>IF(OR($B404="",$L404=""),"",IFERROR(IF(INDEX(Obras!$H$5:$H$19,MATCH($B404,Obras!$A$5:$A$19,0))="","",IF(INDEX(Obras!$H$5:$H$19,MATCH($B404,Obras!$A$5:$A$19,0))&gt;$L404,"VENCIDA",IF($L404-INDEX(Obras!$H$5:$H$19,MATCH($B404,Obras!$A$5:$A$19,0))&lt;=0.5,"VENCE EM ATÉ 6 MESES","VIGENTE"))),""))</x:f>
      </x:c>
      <x:c r="N404" s="268"/>
    </x:row>
    <x:row r="405" ht="30" customHeight="1">
      <x:c r="A405" s="176" t="str">
        <x:f>IF(OR($B405="",$C405=""),"","LC-"&amp;TEXT(401,"0000"))</x:f>
      </x:c>
      <x:c r="B405" s="259"/>
      <x:c r="C405" s="259"/>
      <x:c r="D405" s="271" t="str">
        <x:f>IF($B405="","",IFERROR(IF(INDEX(Obras!$G$5:$G$19,MATCH($B405,Obras!$A$5:$A$19,0))="","",INDEX(Obras!$G$5:$G$19,MATCH($B405,Obras!$A$5:$A$19,0))),""))</x:f>
      </x:c>
      <x:c r="E405" s="259"/>
      <x:c r="F405" s="268"/>
      <x:c r="G405" s="259"/>
      <x:c r="H405" s="259"/>
      <x:c r="I405" s="259"/>
      <x:c r="J405" s="181" t="str">
        <x:f t="shared" si="12"/>
      </x:c>
      <x:c r="K405" s="176" t="str">
        <x:f t="shared" si="13"/>
      </x:c>
      <x:c r="L405" s="181" t="str">
        <x:f>IF($C405="","",IFERROR(IF(INDEX(Catalogo!$H$5:$H$86,MATCH($C405,Catalogo!$A$5:$A$86,0))="","",INDEX(Catalogo!$H$5:$H$86,MATCH($C405,Catalogo!$A$5:$A$86,0))),""))</x:f>
      </x:c>
      <x:c r="M405" s="176" t="str">
        <x:f>IF(OR($B405="",$L405=""),"",IFERROR(IF(INDEX(Obras!$H$5:$H$19,MATCH($B405,Obras!$A$5:$A$19,0))="","",IF(INDEX(Obras!$H$5:$H$19,MATCH($B405,Obras!$A$5:$A$19,0))&gt;$L405,"VENCIDA",IF($L405-INDEX(Obras!$H$5:$H$19,MATCH($B405,Obras!$A$5:$A$19,0))&lt;=0.5,"VENCE EM ATÉ 6 MESES","VIGENTE"))),""))</x:f>
      </x:c>
      <x:c r="N405" s="268"/>
    </x:row>
    <x:row r="406" ht="30" customHeight="1">
      <x:c r="A406" s="176" t="str">
        <x:f>IF(OR($B406="",$C406=""),"","LC-"&amp;TEXT(402,"0000"))</x:f>
      </x:c>
      <x:c r="B406" s="259"/>
      <x:c r="C406" s="259"/>
      <x:c r="D406" s="271" t="str">
        <x:f>IF($B406="","",IFERROR(IF(INDEX(Obras!$G$5:$G$19,MATCH($B406,Obras!$A$5:$A$19,0))="","",INDEX(Obras!$G$5:$G$19,MATCH($B406,Obras!$A$5:$A$19,0))),""))</x:f>
      </x:c>
      <x:c r="E406" s="259"/>
      <x:c r="F406" s="268"/>
      <x:c r="G406" s="259"/>
      <x:c r="H406" s="259"/>
      <x:c r="I406" s="259"/>
      <x:c r="J406" s="181" t="str">
        <x:f t="shared" si="12"/>
      </x:c>
      <x:c r="K406" s="176" t="str">
        <x:f t="shared" si="13"/>
      </x:c>
      <x:c r="L406" s="181" t="str">
        <x:f>IF($C406="","",IFERROR(IF(INDEX(Catalogo!$H$5:$H$86,MATCH($C406,Catalogo!$A$5:$A$86,0))="","",INDEX(Catalogo!$H$5:$H$86,MATCH($C406,Catalogo!$A$5:$A$86,0))),""))</x:f>
      </x:c>
      <x:c r="M406" s="176" t="str">
        <x:f>IF(OR($B406="",$L406=""),"",IFERROR(IF(INDEX(Obras!$H$5:$H$19,MATCH($B406,Obras!$A$5:$A$19,0))="","",IF(INDEX(Obras!$H$5:$H$19,MATCH($B406,Obras!$A$5:$A$19,0))&gt;$L406,"VENCIDA",IF($L406-INDEX(Obras!$H$5:$H$19,MATCH($B406,Obras!$A$5:$A$19,0))&lt;=0.5,"VENCE EM ATÉ 6 MESES","VIGENTE"))),""))</x:f>
      </x:c>
      <x:c r="N406" s="268"/>
    </x:row>
    <x:row r="407" ht="30" customHeight="1">
      <x:c r="A407" s="176" t="str">
        <x:f>IF(OR($B407="",$C407=""),"","LC-"&amp;TEXT(403,"0000"))</x:f>
      </x:c>
      <x:c r="B407" s="259"/>
      <x:c r="C407" s="259"/>
      <x:c r="D407" s="271" t="str">
        <x:f>IF($B407="","",IFERROR(IF(INDEX(Obras!$G$5:$G$19,MATCH($B407,Obras!$A$5:$A$19,0))="","",INDEX(Obras!$G$5:$G$19,MATCH($B407,Obras!$A$5:$A$19,0))),""))</x:f>
      </x:c>
      <x:c r="E407" s="259"/>
      <x:c r="F407" s="268"/>
      <x:c r="G407" s="259"/>
      <x:c r="H407" s="259"/>
      <x:c r="I407" s="259"/>
      <x:c r="J407" s="181" t="str">
        <x:f t="shared" si="12"/>
      </x:c>
      <x:c r="K407" s="176" t="str">
        <x:f t="shared" si="13"/>
      </x:c>
      <x:c r="L407" s="181" t="str">
        <x:f>IF($C407="","",IFERROR(IF(INDEX(Catalogo!$H$5:$H$86,MATCH($C407,Catalogo!$A$5:$A$86,0))="","",INDEX(Catalogo!$H$5:$H$86,MATCH($C407,Catalogo!$A$5:$A$86,0))),""))</x:f>
      </x:c>
      <x:c r="M407" s="176" t="str">
        <x:f>IF(OR($B407="",$L407=""),"",IFERROR(IF(INDEX(Obras!$H$5:$H$19,MATCH($B407,Obras!$A$5:$A$19,0))="","",IF(INDEX(Obras!$H$5:$H$19,MATCH($B407,Obras!$A$5:$A$19,0))&gt;$L407,"VENCIDA",IF($L407-INDEX(Obras!$H$5:$H$19,MATCH($B407,Obras!$A$5:$A$19,0))&lt;=0.5,"VENCE EM ATÉ 6 MESES","VIGENTE"))),""))</x:f>
      </x:c>
      <x:c r="N407" s="268"/>
    </x:row>
    <x:row r="408" ht="30" customHeight="1">
      <x:c r="A408" s="176" t="str">
        <x:f>IF(OR($B408="",$C408=""),"","LC-"&amp;TEXT(404,"0000"))</x:f>
      </x:c>
      <x:c r="B408" s="259"/>
      <x:c r="C408" s="259"/>
      <x:c r="D408" s="271" t="str">
        <x:f>IF($B408="","",IFERROR(IF(INDEX(Obras!$G$5:$G$19,MATCH($B408,Obras!$A$5:$A$19,0))="","",INDEX(Obras!$G$5:$G$19,MATCH($B408,Obras!$A$5:$A$19,0))),""))</x:f>
      </x:c>
      <x:c r="E408" s="259"/>
      <x:c r="F408" s="268"/>
      <x:c r="G408" s="259"/>
      <x:c r="H408" s="259"/>
      <x:c r="I408" s="259"/>
      <x:c r="J408" s="181" t="str">
        <x:f t="shared" si="12"/>
      </x:c>
      <x:c r="K408" s="176" t="str">
        <x:f t="shared" si="13"/>
      </x:c>
      <x:c r="L408" s="181" t="str">
        <x:f>IF($C408="","",IFERROR(IF(INDEX(Catalogo!$H$5:$H$86,MATCH($C408,Catalogo!$A$5:$A$86,0))="","",INDEX(Catalogo!$H$5:$H$86,MATCH($C408,Catalogo!$A$5:$A$86,0))),""))</x:f>
      </x:c>
      <x:c r="M408" s="176" t="str">
        <x:f>IF(OR($B408="",$L408=""),"",IFERROR(IF(INDEX(Obras!$H$5:$H$19,MATCH($B408,Obras!$A$5:$A$19,0))="","",IF(INDEX(Obras!$H$5:$H$19,MATCH($B408,Obras!$A$5:$A$19,0))&gt;$L408,"VENCIDA",IF($L408-INDEX(Obras!$H$5:$H$19,MATCH($B408,Obras!$A$5:$A$19,0))&lt;=0.5,"VENCE EM ATÉ 6 MESES","VIGENTE"))),""))</x:f>
      </x:c>
      <x:c r="N408" s="268"/>
    </x:row>
    <x:row r="409" ht="30" customHeight="1">
      <x:c r="A409" s="176" t="str">
        <x:f>IF(OR($B409="",$C409=""),"","LC-"&amp;TEXT(405,"0000"))</x:f>
      </x:c>
      <x:c r="B409" s="259"/>
      <x:c r="C409" s="259"/>
      <x:c r="D409" s="271" t="str">
        <x:f>IF($B409="","",IFERROR(IF(INDEX(Obras!$G$5:$G$19,MATCH($B409,Obras!$A$5:$A$19,0))="","",INDEX(Obras!$G$5:$G$19,MATCH($B409,Obras!$A$5:$A$19,0))),""))</x:f>
      </x:c>
      <x:c r="E409" s="259"/>
      <x:c r="F409" s="268"/>
      <x:c r="G409" s="259"/>
      <x:c r="H409" s="259"/>
      <x:c r="I409" s="259"/>
      <x:c r="J409" s="181" t="str">
        <x:f t="shared" si="12"/>
      </x:c>
      <x:c r="K409" s="176" t="str">
        <x:f t="shared" si="13"/>
      </x:c>
      <x:c r="L409" s="181" t="str">
        <x:f>IF($C409="","",IFERROR(IF(INDEX(Catalogo!$H$5:$H$86,MATCH($C409,Catalogo!$A$5:$A$86,0))="","",INDEX(Catalogo!$H$5:$H$86,MATCH($C409,Catalogo!$A$5:$A$86,0))),""))</x:f>
      </x:c>
      <x:c r="M409" s="176" t="str">
        <x:f>IF(OR($B409="",$L409=""),"",IFERROR(IF(INDEX(Obras!$H$5:$H$19,MATCH($B409,Obras!$A$5:$A$19,0))="","",IF(INDEX(Obras!$H$5:$H$19,MATCH($B409,Obras!$A$5:$A$19,0))&gt;$L409,"VENCIDA",IF($L409-INDEX(Obras!$H$5:$H$19,MATCH($B409,Obras!$A$5:$A$19,0))&lt;=0.5,"VENCE EM ATÉ 6 MESES","VIGENTE"))),""))</x:f>
      </x:c>
      <x:c r="N409" s="268"/>
    </x:row>
    <x:row r="410" ht="30" customHeight="1">
      <x:c r="A410" s="176" t="str">
        <x:f>IF(OR($B410="",$C410=""),"","LC-"&amp;TEXT(406,"0000"))</x:f>
      </x:c>
      <x:c r="B410" s="259"/>
      <x:c r="C410" s="259"/>
      <x:c r="D410" s="271" t="str">
        <x:f>IF($B410="","",IFERROR(IF(INDEX(Obras!$G$5:$G$19,MATCH($B410,Obras!$A$5:$A$19,0))="","",INDEX(Obras!$G$5:$G$19,MATCH($B410,Obras!$A$5:$A$19,0))),""))</x:f>
      </x:c>
      <x:c r="E410" s="259"/>
      <x:c r="F410" s="268"/>
      <x:c r="G410" s="259"/>
      <x:c r="H410" s="259"/>
      <x:c r="I410" s="259"/>
      <x:c r="J410" s="181" t="str">
        <x:f t="shared" si="12"/>
      </x:c>
      <x:c r="K410" s="176" t="str">
        <x:f t="shared" si="13"/>
      </x:c>
      <x:c r="L410" s="181" t="str">
        <x:f>IF($C410="","",IFERROR(IF(INDEX(Catalogo!$H$5:$H$86,MATCH($C410,Catalogo!$A$5:$A$86,0))="","",INDEX(Catalogo!$H$5:$H$86,MATCH($C410,Catalogo!$A$5:$A$86,0))),""))</x:f>
      </x:c>
      <x:c r="M410" s="176" t="str">
        <x:f>IF(OR($B410="",$L410=""),"",IFERROR(IF(INDEX(Obras!$H$5:$H$19,MATCH($B410,Obras!$A$5:$A$19,0))="","",IF(INDEX(Obras!$H$5:$H$19,MATCH($B410,Obras!$A$5:$A$19,0))&gt;$L410,"VENCIDA",IF($L410-INDEX(Obras!$H$5:$H$19,MATCH($B410,Obras!$A$5:$A$19,0))&lt;=0.5,"VENCE EM ATÉ 6 MESES","VIGENTE"))),""))</x:f>
      </x:c>
      <x:c r="N410" s="268"/>
    </x:row>
    <x:row r="411" ht="30" customHeight="1">
      <x:c r="A411" s="176" t="str">
        <x:f>IF(OR($B411="",$C411=""),"","LC-"&amp;TEXT(407,"0000"))</x:f>
      </x:c>
      <x:c r="B411" s="259"/>
      <x:c r="C411" s="259"/>
      <x:c r="D411" s="271" t="str">
        <x:f>IF($B411="","",IFERROR(IF(INDEX(Obras!$G$5:$G$19,MATCH($B411,Obras!$A$5:$A$19,0))="","",INDEX(Obras!$G$5:$G$19,MATCH($B411,Obras!$A$5:$A$19,0))),""))</x:f>
      </x:c>
      <x:c r="E411" s="259"/>
      <x:c r="F411" s="268"/>
      <x:c r="G411" s="259"/>
      <x:c r="H411" s="259"/>
      <x:c r="I411" s="259"/>
      <x:c r="J411" s="181" t="str">
        <x:f t="shared" si="12"/>
      </x:c>
      <x:c r="K411" s="176" t="str">
        <x:f t="shared" si="13"/>
      </x:c>
      <x:c r="L411" s="181" t="str">
        <x:f>IF($C411="","",IFERROR(IF(INDEX(Catalogo!$H$5:$H$86,MATCH($C411,Catalogo!$A$5:$A$86,0))="","",INDEX(Catalogo!$H$5:$H$86,MATCH($C411,Catalogo!$A$5:$A$86,0))),""))</x:f>
      </x:c>
      <x:c r="M411" s="176" t="str">
        <x:f>IF(OR($B411="",$L411=""),"",IFERROR(IF(INDEX(Obras!$H$5:$H$19,MATCH($B411,Obras!$A$5:$A$19,0))="","",IF(INDEX(Obras!$H$5:$H$19,MATCH($B411,Obras!$A$5:$A$19,0))&gt;$L411,"VENCIDA",IF($L411-INDEX(Obras!$H$5:$H$19,MATCH($B411,Obras!$A$5:$A$19,0))&lt;=0.5,"VENCE EM ATÉ 6 MESES","VIGENTE"))),""))</x:f>
      </x:c>
      <x:c r="N411" s="268"/>
    </x:row>
    <x:row r="412" ht="30" customHeight="1">
      <x:c r="A412" s="176" t="str">
        <x:f>IF(OR($B412="",$C412=""),"","LC-"&amp;TEXT(408,"0000"))</x:f>
      </x:c>
      <x:c r="B412" s="259"/>
      <x:c r="C412" s="259"/>
      <x:c r="D412" s="271" t="str">
        <x:f>IF($B412="","",IFERROR(IF(INDEX(Obras!$G$5:$G$19,MATCH($B412,Obras!$A$5:$A$19,0))="","",INDEX(Obras!$G$5:$G$19,MATCH($B412,Obras!$A$5:$A$19,0))),""))</x:f>
      </x:c>
      <x:c r="E412" s="259"/>
      <x:c r="F412" s="268"/>
      <x:c r="G412" s="259"/>
      <x:c r="H412" s="259"/>
      <x:c r="I412" s="259"/>
      <x:c r="J412" s="181" t="str">
        <x:f t="shared" si="12"/>
      </x:c>
      <x:c r="K412" s="176" t="str">
        <x:f t="shared" si="13"/>
      </x:c>
      <x:c r="L412" s="181" t="str">
        <x:f>IF($C412="","",IFERROR(IF(INDEX(Catalogo!$H$5:$H$86,MATCH($C412,Catalogo!$A$5:$A$86,0))="","",INDEX(Catalogo!$H$5:$H$86,MATCH($C412,Catalogo!$A$5:$A$86,0))),""))</x:f>
      </x:c>
      <x:c r="M412" s="176" t="str">
        <x:f>IF(OR($B412="",$L412=""),"",IFERROR(IF(INDEX(Obras!$H$5:$H$19,MATCH($B412,Obras!$A$5:$A$19,0))="","",IF(INDEX(Obras!$H$5:$H$19,MATCH($B412,Obras!$A$5:$A$19,0))&gt;$L412,"VENCIDA",IF($L412-INDEX(Obras!$H$5:$H$19,MATCH($B412,Obras!$A$5:$A$19,0))&lt;=0.5,"VENCE EM ATÉ 6 MESES","VIGENTE"))),""))</x:f>
      </x:c>
      <x:c r="N412" s="268"/>
    </x:row>
    <x:row r="413" ht="30" customHeight="1">
      <x:c r="A413" s="176" t="str">
        <x:f>IF(OR($B413="",$C413=""),"","LC-"&amp;TEXT(409,"0000"))</x:f>
      </x:c>
      <x:c r="B413" s="259"/>
      <x:c r="C413" s="259"/>
      <x:c r="D413" s="271" t="str">
        <x:f>IF($B413="","",IFERROR(IF(INDEX(Obras!$G$5:$G$19,MATCH($B413,Obras!$A$5:$A$19,0))="","",INDEX(Obras!$G$5:$G$19,MATCH($B413,Obras!$A$5:$A$19,0))),""))</x:f>
      </x:c>
      <x:c r="E413" s="259"/>
      <x:c r="F413" s="268"/>
      <x:c r="G413" s="259"/>
      <x:c r="H413" s="259"/>
      <x:c r="I413" s="259"/>
      <x:c r="J413" s="181" t="str">
        <x:f t="shared" si="12"/>
      </x:c>
      <x:c r="K413" s="176" t="str">
        <x:f t="shared" si="13"/>
      </x:c>
      <x:c r="L413" s="181" t="str">
        <x:f>IF($C413="","",IFERROR(IF(INDEX(Catalogo!$H$5:$H$86,MATCH($C413,Catalogo!$A$5:$A$86,0))="","",INDEX(Catalogo!$H$5:$H$86,MATCH($C413,Catalogo!$A$5:$A$86,0))),""))</x:f>
      </x:c>
      <x:c r="M413" s="176" t="str">
        <x:f>IF(OR($B413="",$L413=""),"",IFERROR(IF(INDEX(Obras!$H$5:$H$19,MATCH($B413,Obras!$A$5:$A$19,0))="","",IF(INDEX(Obras!$H$5:$H$19,MATCH($B413,Obras!$A$5:$A$19,0))&gt;$L413,"VENCIDA",IF($L413-INDEX(Obras!$H$5:$H$19,MATCH($B413,Obras!$A$5:$A$19,0))&lt;=0.5,"VENCE EM ATÉ 6 MESES","VIGENTE"))),""))</x:f>
      </x:c>
      <x:c r="N413" s="268"/>
    </x:row>
    <x:row r="414" ht="30" customHeight="1">
      <x:c r="A414" s="176" t="str">
        <x:f>IF(OR($B414="",$C414=""),"","LC-"&amp;TEXT(410,"0000"))</x:f>
      </x:c>
      <x:c r="B414" s="259"/>
      <x:c r="C414" s="259"/>
      <x:c r="D414" s="271" t="str">
        <x:f>IF($B414="","",IFERROR(IF(INDEX(Obras!$G$5:$G$19,MATCH($B414,Obras!$A$5:$A$19,0))="","",INDEX(Obras!$G$5:$G$19,MATCH($B414,Obras!$A$5:$A$19,0))),""))</x:f>
      </x:c>
      <x:c r="E414" s="259"/>
      <x:c r="F414" s="268"/>
      <x:c r="G414" s="259"/>
      <x:c r="H414" s="259"/>
      <x:c r="I414" s="259"/>
      <x:c r="J414" s="181" t="str">
        <x:f t="shared" si="12"/>
      </x:c>
      <x:c r="K414" s="176" t="str">
        <x:f t="shared" si="13"/>
      </x:c>
      <x:c r="L414" s="181" t="str">
        <x:f>IF($C414="","",IFERROR(IF(INDEX(Catalogo!$H$5:$H$86,MATCH($C414,Catalogo!$A$5:$A$86,0))="","",INDEX(Catalogo!$H$5:$H$86,MATCH($C414,Catalogo!$A$5:$A$86,0))),""))</x:f>
      </x:c>
      <x:c r="M414" s="176" t="str">
        <x:f>IF(OR($B414="",$L414=""),"",IFERROR(IF(INDEX(Obras!$H$5:$H$19,MATCH($B414,Obras!$A$5:$A$19,0))="","",IF(INDEX(Obras!$H$5:$H$19,MATCH($B414,Obras!$A$5:$A$19,0))&gt;$L414,"VENCIDA",IF($L414-INDEX(Obras!$H$5:$H$19,MATCH($B414,Obras!$A$5:$A$19,0))&lt;=0.5,"VENCE EM ATÉ 6 MESES","VIGENTE"))),""))</x:f>
      </x:c>
      <x:c r="N414" s="268"/>
    </x:row>
    <x:row r="415" ht="30" customHeight="1">
      <x:c r="A415" s="176" t="str">
        <x:f>IF(OR($B415="",$C415=""),"","LC-"&amp;TEXT(411,"0000"))</x:f>
      </x:c>
      <x:c r="B415" s="259"/>
      <x:c r="C415" s="259"/>
      <x:c r="D415" s="271" t="str">
        <x:f>IF($B415="","",IFERROR(IF(INDEX(Obras!$G$5:$G$19,MATCH($B415,Obras!$A$5:$A$19,0))="","",INDEX(Obras!$G$5:$G$19,MATCH($B415,Obras!$A$5:$A$19,0))),""))</x:f>
      </x:c>
      <x:c r="E415" s="259"/>
      <x:c r="F415" s="268"/>
      <x:c r="G415" s="259"/>
      <x:c r="H415" s="259"/>
      <x:c r="I415" s="259"/>
      <x:c r="J415" s="181" t="str">
        <x:f t="shared" si="12"/>
      </x:c>
      <x:c r="K415" s="176" t="str">
        <x:f t="shared" si="13"/>
      </x:c>
      <x:c r="L415" s="181" t="str">
        <x:f>IF($C415="","",IFERROR(IF(INDEX(Catalogo!$H$5:$H$86,MATCH($C415,Catalogo!$A$5:$A$86,0))="","",INDEX(Catalogo!$H$5:$H$86,MATCH($C415,Catalogo!$A$5:$A$86,0))),""))</x:f>
      </x:c>
      <x:c r="M415" s="176" t="str">
        <x:f>IF(OR($B415="",$L415=""),"",IFERROR(IF(INDEX(Obras!$H$5:$H$19,MATCH($B415,Obras!$A$5:$A$19,0))="","",IF(INDEX(Obras!$H$5:$H$19,MATCH($B415,Obras!$A$5:$A$19,0))&gt;$L415,"VENCIDA",IF($L415-INDEX(Obras!$H$5:$H$19,MATCH($B415,Obras!$A$5:$A$19,0))&lt;=0.5,"VENCE EM ATÉ 6 MESES","VIGENTE"))),""))</x:f>
      </x:c>
      <x:c r="N415" s="268"/>
    </x:row>
    <x:row r="416" ht="30" customHeight="1">
      <x:c r="A416" s="176" t="str">
        <x:f>IF(OR($B416="",$C416=""),"","LC-"&amp;TEXT(412,"0000"))</x:f>
      </x:c>
      <x:c r="B416" s="259"/>
      <x:c r="C416" s="259"/>
      <x:c r="D416" s="271" t="str">
        <x:f>IF($B416="","",IFERROR(IF(INDEX(Obras!$G$5:$G$19,MATCH($B416,Obras!$A$5:$A$19,0))="","",INDEX(Obras!$G$5:$G$19,MATCH($B416,Obras!$A$5:$A$19,0))),""))</x:f>
      </x:c>
      <x:c r="E416" s="259"/>
      <x:c r="F416" s="268"/>
      <x:c r="G416" s="259"/>
      <x:c r="H416" s="259"/>
      <x:c r="I416" s="259"/>
      <x:c r="J416" s="181" t="str">
        <x:f t="shared" si="12"/>
      </x:c>
      <x:c r="K416" s="176" t="str">
        <x:f t="shared" si="13"/>
      </x:c>
      <x:c r="L416" s="181" t="str">
        <x:f>IF($C416="","",IFERROR(IF(INDEX(Catalogo!$H$5:$H$86,MATCH($C416,Catalogo!$A$5:$A$86,0))="","",INDEX(Catalogo!$H$5:$H$86,MATCH($C416,Catalogo!$A$5:$A$86,0))),""))</x:f>
      </x:c>
      <x:c r="M416" s="176" t="str">
        <x:f>IF(OR($B416="",$L416=""),"",IFERROR(IF(INDEX(Obras!$H$5:$H$19,MATCH($B416,Obras!$A$5:$A$19,0))="","",IF(INDEX(Obras!$H$5:$H$19,MATCH($B416,Obras!$A$5:$A$19,0))&gt;$L416,"VENCIDA",IF($L416-INDEX(Obras!$H$5:$H$19,MATCH($B416,Obras!$A$5:$A$19,0))&lt;=0.5,"VENCE EM ATÉ 6 MESES","VIGENTE"))),""))</x:f>
      </x:c>
      <x:c r="N416" s="268"/>
    </x:row>
    <x:row r="417" ht="30" customHeight="1">
      <x:c r="A417" s="176" t="str">
        <x:f>IF(OR($B417="",$C417=""),"","LC-"&amp;TEXT(413,"0000"))</x:f>
      </x:c>
      <x:c r="B417" s="259"/>
      <x:c r="C417" s="259"/>
      <x:c r="D417" s="271" t="str">
        <x:f>IF($B417="","",IFERROR(IF(INDEX(Obras!$G$5:$G$19,MATCH($B417,Obras!$A$5:$A$19,0))="","",INDEX(Obras!$G$5:$G$19,MATCH($B417,Obras!$A$5:$A$19,0))),""))</x:f>
      </x:c>
      <x:c r="E417" s="259"/>
      <x:c r="F417" s="268"/>
      <x:c r="G417" s="259"/>
      <x:c r="H417" s="259"/>
      <x:c r="I417" s="259"/>
      <x:c r="J417" s="181" t="str">
        <x:f t="shared" si="12"/>
      </x:c>
      <x:c r="K417" s="176" t="str">
        <x:f t="shared" si="13"/>
      </x:c>
      <x:c r="L417" s="181" t="str">
        <x:f>IF($C417="","",IFERROR(IF(INDEX(Catalogo!$H$5:$H$86,MATCH($C417,Catalogo!$A$5:$A$86,0))="","",INDEX(Catalogo!$H$5:$H$86,MATCH($C417,Catalogo!$A$5:$A$86,0))),""))</x:f>
      </x:c>
      <x:c r="M417" s="176" t="str">
        <x:f>IF(OR($B417="",$L417=""),"",IFERROR(IF(INDEX(Obras!$H$5:$H$19,MATCH($B417,Obras!$A$5:$A$19,0))="","",IF(INDEX(Obras!$H$5:$H$19,MATCH($B417,Obras!$A$5:$A$19,0))&gt;$L417,"VENCIDA",IF($L417-INDEX(Obras!$H$5:$H$19,MATCH($B417,Obras!$A$5:$A$19,0))&lt;=0.5,"VENCE EM ATÉ 6 MESES","VIGENTE"))),""))</x:f>
      </x:c>
      <x:c r="N417" s="268"/>
    </x:row>
    <x:row r="418" ht="30" customHeight="1">
      <x:c r="A418" s="176" t="str">
        <x:f>IF(OR($B418="",$C418=""),"","LC-"&amp;TEXT(414,"0000"))</x:f>
      </x:c>
      <x:c r="B418" s="259"/>
      <x:c r="C418" s="259"/>
      <x:c r="D418" s="271" t="str">
        <x:f>IF($B418="","",IFERROR(IF(INDEX(Obras!$G$5:$G$19,MATCH($B418,Obras!$A$5:$A$19,0))="","",INDEX(Obras!$G$5:$G$19,MATCH($B418,Obras!$A$5:$A$19,0))),""))</x:f>
      </x:c>
      <x:c r="E418" s="259"/>
      <x:c r="F418" s="268"/>
      <x:c r="G418" s="259"/>
      <x:c r="H418" s="259"/>
      <x:c r="I418" s="259"/>
      <x:c r="J418" s="181" t="str">
        <x:f t="shared" si="12"/>
      </x:c>
      <x:c r="K418" s="176" t="str">
        <x:f t="shared" si="13"/>
      </x:c>
      <x:c r="L418" s="181" t="str">
        <x:f>IF($C418="","",IFERROR(IF(INDEX(Catalogo!$H$5:$H$86,MATCH($C418,Catalogo!$A$5:$A$86,0))="","",INDEX(Catalogo!$H$5:$H$86,MATCH($C418,Catalogo!$A$5:$A$86,0))),""))</x:f>
      </x:c>
      <x:c r="M418" s="176" t="str">
        <x:f>IF(OR($B418="",$L418=""),"",IFERROR(IF(INDEX(Obras!$H$5:$H$19,MATCH($B418,Obras!$A$5:$A$19,0))="","",IF(INDEX(Obras!$H$5:$H$19,MATCH($B418,Obras!$A$5:$A$19,0))&gt;$L418,"VENCIDA",IF($L418-INDEX(Obras!$H$5:$H$19,MATCH($B418,Obras!$A$5:$A$19,0))&lt;=0.5,"VENCE EM ATÉ 6 MESES","VIGENTE"))),""))</x:f>
      </x:c>
      <x:c r="N418" s="268"/>
    </x:row>
    <x:row r="419" ht="30" customHeight="1">
      <x:c r="A419" s="176" t="str">
        <x:f>IF(OR($B419="",$C419=""),"","LC-"&amp;TEXT(415,"0000"))</x:f>
      </x:c>
      <x:c r="B419" s="259"/>
      <x:c r="C419" s="259"/>
      <x:c r="D419" s="271" t="str">
        <x:f>IF($B419="","",IFERROR(IF(INDEX(Obras!$G$5:$G$19,MATCH($B419,Obras!$A$5:$A$19,0))="","",INDEX(Obras!$G$5:$G$19,MATCH($B419,Obras!$A$5:$A$19,0))),""))</x:f>
      </x:c>
      <x:c r="E419" s="259"/>
      <x:c r="F419" s="268"/>
      <x:c r="G419" s="259"/>
      <x:c r="H419" s="259"/>
      <x:c r="I419" s="259"/>
      <x:c r="J419" s="181" t="str">
        <x:f t="shared" si="12"/>
      </x:c>
      <x:c r="K419" s="176" t="str">
        <x:f t="shared" si="13"/>
      </x:c>
      <x:c r="L419" s="181" t="str">
        <x:f>IF($C419="","",IFERROR(IF(INDEX(Catalogo!$H$5:$H$86,MATCH($C419,Catalogo!$A$5:$A$86,0))="","",INDEX(Catalogo!$H$5:$H$86,MATCH($C419,Catalogo!$A$5:$A$86,0))),""))</x:f>
      </x:c>
      <x:c r="M419" s="176" t="str">
        <x:f>IF(OR($B419="",$L419=""),"",IFERROR(IF(INDEX(Obras!$H$5:$H$19,MATCH($B419,Obras!$A$5:$A$19,0))="","",IF(INDEX(Obras!$H$5:$H$19,MATCH($B419,Obras!$A$5:$A$19,0))&gt;$L419,"VENCIDA",IF($L419-INDEX(Obras!$H$5:$H$19,MATCH($B419,Obras!$A$5:$A$19,0))&lt;=0.5,"VENCE EM ATÉ 6 MESES","VIGENTE"))),""))</x:f>
      </x:c>
      <x:c r="N419" s="268"/>
    </x:row>
    <x:row r="420" ht="30" customHeight="1">
      <x:c r="A420" s="176" t="str">
        <x:f>IF(OR($B420="",$C420=""),"","LC-"&amp;TEXT(416,"0000"))</x:f>
      </x:c>
      <x:c r="B420" s="259"/>
      <x:c r="C420" s="259"/>
      <x:c r="D420" s="271" t="str">
        <x:f>IF($B420="","",IFERROR(IF(INDEX(Obras!$G$5:$G$19,MATCH($B420,Obras!$A$5:$A$19,0))="","",INDEX(Obras!$G$5:$G$19,MATCH($B420,Obras!$A$5:$A$19,0))),""))</x:f>
      </x:c>
      <x:c r="E420" s="259"/>
      <x:c r="F420" s="268"/>
      <x:c r="G420" s="259"/>
      <x:c r="H420" s="259"/>
      <x:c r="I420" s="259"/>
      <x:c r="J420" s="181" t="str">
        <x:f t="shared" si="12"/>
      </x:c>
      <x:c r="K420" s="176" t="str">
        <x:f t="shared" si="13"/>
      </x:c>
      <x:c r="L420" s="181" t="str">
        <x:f>IF($C420="","",IFERROR(IF(INDEX(Catalogo!$H$5:$H$86,MATCH($C420,Catalogo!$A$5:$A$86,0))="","",INDEX(Catalogo!$H$5:$H$86,MATCH($C420,Catalogo!$A$5:$A$86,0))),""))</x:f>
      </x:c>
      <x:c r="M420" s="176" t="str">
        <x:f>IF(OR($B420="",$L420=""),"",IFERROR(IF(INDEX(Obras!$H$5:$H$19,MATCH($B420,Obras!$A$5:$A$19,0))="","",IF(INDEX(Obras!$H$5:$H$19,MATCH($B420,Obras!$A$5:$A$19,0))&gt;$L420,"VENCIDA",IF($L420-INDEX(Obras!$H$5:$H$19,MATCH($B420,Obras!$A$5:$A$19,0))&lt;=0.5,"VENCE EM ATÉ 6 MESES","VIGENTE"))),""))</x:f>
      </x:c>
      <x:c r="N420" s="268"/>
    </x:row>
    <x:row r="421" ht="30" customHeight="1">
      <x:c r="A421" s="176" t="str">
        <x:f>IF(OR($B421="",$C421=""),"","LC-"&amp;TEXT(417,"0000"))</x:f>
      </x:c>
      <x:c r="B421" s="259"/>
      <x:c r="C421" s="259"/>
      <x:c r="D421" s="271" t="str">
        <x:f>IF($B421="","",IFERROR(IF(INDEX(Obras!$G$5:$G$19,MATCH($B421,Obras!$A$5:$A$19,0))="","",INDEX(Obras!$G$5:$G$19,MATCH($B421,Obras!$A$5:$A$19,0))),""))</x:f>
      </x:c>
      <x:c r="E421" s="259"/>
      <x:c r="F421" s="268"/>
      <x:c r="G421" s="259"/>
      <x:c r="H421" s="259"/>
      <x:c r="I421" s="259"/>
      <x:c r="J421" s="181" t="str">
        <x:f t="shared" si="12"/>
      </x:c>
      <x:c r="K421" s="176" t="str">
        <x:f t="shared" si="13"/>
      </x:c>
      <x:c r="L421" s="181" t="str">
        <x:f>IF($C421="","",IFERROR(IF(INDEX(Catalogo!$H$5:$H$86,MATCH($C421,Catalogo!$A$5:$A$86,0))="","",INDEX(Catalogo!$H$5:$H$86,MATCH($C421,Catalogo!$A$5:$A$86,0))),""))</x:f>
      </x:c>
      <x:c r="M421" s="176" t="str">
        <x:f>IF(OR($B421="",$L421=""),"",IFERROR(IF(INDEX(Obras!$H$5:$H$19,MATCH($B421,Obras!$A$5:$A$19,0))="","",IF(INDEX(Obras!$H$5:$H$19,MATCH($B421,Obras!$A$5:$A$19,0))&gt;$L421,"VENCIDA",IF($L421-INDEX(Obras!$H$5:$H$19,MATCH($B421,Obras!$A$5:$A$19,0))&lt;=0.5,"VENCE EM ATÉ 6 MESES","VIGENTE"))),""))</x:f>
      </x:c>
      <x:c r="N421" s="268"/>
    </x:row>
    <x:row r="422" ht="30" customHeight="1">
      <x:c r="A422" s="176" t="str">
        <x:f>IF(OR($B422="",$C422=""),"","LC-"&amp;TEXT(418,"0000"))</x:f>
      </x:c>
      <x:c r="B422" s="259"/>
      <x:c r="C422" s="259"/>
      <x:c r="D422" s="271" t="str">
        <x:f>IF($B422="","",IFERROR(IF(INDEX(Obras!$G$5:$G$19,MATCH($B422,Obras!$A$5:$A$19,0))="","",INDEX(Obras!$G$5:$G$19,MATCH($B422,Obras!$A$5:$A$19,0))),""))</x:f>
      </x:c>
      <x:c r="E422" s="259"/>
      <x:c r="F422" s="268"/>
      <x:c r="G422" s="259"/>
      <x:c r="H422" s="259"/>
      <x:c r="I422" s="259"/>
      <x:c r="J422" s="181" t="str">
        <x:f t="shared" si="12"/>
      </x:c>
      <x:c r="K422" s="176" t="str">
        <x:f t="shared" si="13"/>
      </x:c>
      <x:c r="L422" s="181" t="str">
        <x:f>IF($C422="","",IFERROR(IF(INDEX(Catalogo!$H$5:$H$86,MATCH($C422,Catalogo!$A$5:$A$86,0))="","",INDEX(Catalogo!$H$5:$H$86,MATCH($C422,Catalogo!$A$5:$A$86,0))),""))</x:f>
      </x:c>
      <x:c r="M422" s="176" t="str">
        <x:f>IF(OR($B422="",$L422=""),"",IFERROR(IF(INDEX(Obras!$H$5:$H$19,MATCH($B422,Obras!$A$5:$A$19,0))="","",IF(INDEX(Obras!$H$5:$H$19,MATCH($B422,Obras!$A$5:$A$19,0))&gt;$L422,"VENCIDA",IF($L422-INDEX(Obras!$H$5:$H$19,MATCH($B422,Obras!$A$5:$A$19,0))&lt;=0.5,"VENCE EM ATÉ 6 MESES","VIGENTE"))),""))</x:f>
      </x:c>
      <x:c r="N422" s="268"/>
    </x:row>
    <x:row r="423" ht="30" customHeight="1">
      <x:c r="A423" s="176" t="str">
        <x:f>IF(OR($B423="",$C423=""),"","LC-"&amp;TEXT(419,"0000"))</x:f>
      </x:c>
      <x:c r="B423" s="259"/>
      <x:c r="C423" s="259"/>
      <x:c r="D423" s="271" t="str">
        <x:f>IF($B423="","",IFERROR(IF(INDEX(Obras!$G$5:$G$19,MATCH($B423,Obras!$A$5:$A$19,0))="","",INDEX(Obras!$G$5:$G$19,MATCH($B423,Obras!$A$5:$A$19,0))),""))</x:f>
      </x:c>
      <x:c r="E423" s="259"/>
      <x:c r="F423" s="268"/>
      <x:c r="G423" s="259"/>
      <x:c r="H423" s="259"/>
      <x:c r="I423" s="259"/>
      <x:c r="J423" s="181" t="str">
        <x:f t="shared" si="12"/>
      </x:c>
      <x:c r="K423" s="176" t="str">
        <x:f t="shared" si="13"/>
      </x:c>
      <x:c r="L423" s="181" t="str">
        <x:f>IF($C423="","",IFERROR(IF(INDEX(Catalogo!$H$5:$H$86,MATCH($C423,Catalogo!$A$5:$A$86,0))="","",INDEX(Catalogo!$H$5:$H$86,MATCH($C423,Catalogo!$A$5:$A$86,0))),""))</x:f>
      </x:c>
      <x:c r="M423" s="176" t="str">
        <x:f>IF(OR($B423="",$L423=""),"",IFERROR(IF(INDEX(Obras!$H$5:$H$19,MATCH($B423,Obras!$A$5:$A$19,0))="","",IF(INDEX(Obras!$H$5:$H$19,MATCH($B423,Obras!$A$5:$A$19,0))&gt;$L423,"VENCIDA",IF($L423-INDEX(Obras!$H$5:$H$19,MATCH($B423,Obras!$A$5:$A$19,0))&lt;=0.5,"VENCE EM ATÉ 6 MESES","VIGENTE"))),""))</x:f>
      </x:c>
      <x:c r="N423" s="268"/>
    </x:row>
    <x:row r="424" ht="30" customHeight="1">
      <x:c r="A424" s="176" t="str">
        <x:f>IF(OR($B424="",$C424=""),"","LC-"&amp;TEXT(420,"0000"))</x:f>
      </x:c>
      <x:c r="B424" s="259"/>
      <x:c r="C424" s="259"/>
      <x:c r="D424" s="271" t="str">
        <x:f>IF($B424="","",IFERROR(IF(INDEX(Obras!$G$5:$G$19,MATCH($B424,Obras!$A$5:$A$19,0))="","",INDEX(Obras!$G$5:$G$19,MATCH($B424,Obras!$A$5:$A$19,0))),""))</x:f>
      </x:c>
      <x:c r="E424" s="259"/>
      <x:c r="F424" s="268"/>
      <x:c r="G424" s="259"/>
      <x:c r="H424" s="259"/>
      <x:c r="I424" s="259"/>
      <x:c r="J424" s="181" t="str">
        <x:f t="shared" si="12"/>
      </x:c>
      <x:c r="K424" s="176" t="str">
        <x:f t="shared" si="13"/>
      </x:c>
      <x:c r="L424" s="181" t="str">
        <x:f>IF($C424="","",IFERROR(IF(INDEX(Catalogo!$H$5:$H$86,MATCH($C424,Catalogo!$A$5:$A$86,0))="","",INDEX(Catalogo!$H$5:$H$86,MATCH($C424,Catalogo!$A$5:$A$86,0))),""))</x:f>
      </x:c>
      <x:c r="M424" s="176" t="str">
        <x:f>IF(OR($B424="",$L424=""),"",IFERROR(IF(INDEX(Obras!$H$5:$H$19,MATCH($B424,Obras!$A$5:$A$19,0))="","",IF(INDEX(Obras!$H$5:$H$19,MATCH($B424,Obras!$A$5:$A$19,0))&gt;$L424,"VENCIDA",IF($L424-INDEX(Obras!$H$5:$H$19,MATCH($B424,Obras!$A$5:$A$19,0))&lt;=0.5,"VENCE EM ATÉ 6 MESES","VIGENTE"))),""))</x:f>
      </x:c>
      <x:c r="N424" s="268"/>
    </x:row>
    <x:row r="425" ht="30" customHeight="1">
      <x:c r="A425" s="176" t="str">
        <x:f>IF(OR($B425="",$C425=""),"","LC-"&amp;TEXT(421,"0000"))</x:f>
      </x:c>
      <x:c r="B425" s="259"/>
      <x:c r="C425" s="259"/>
      <x:c r="D425" s="271" t="str">
        <x:f>IF($B425="","",IFERROR(IF(INDEX(Obras!$G$5:$G$19,MATCH($B425,Obras!$A$5:$A$19,0))="","",INDEX(Obras!$G$5:$G$19,MATCH($B425,Obras!$A$5:$A$19,0))),""))</x:f>
      </x:c>
      <x:c r="E425" s="259"/>
      <x:c r="F425" s="268"/>
      <x:c r="G425" s="259"/>
      <x:c r="H425" s="259"/>
      <x:c r="I425" s="259"/>
      <x:c r="J425" s="181" t="str">
        <x:f t="shared" si="12"/>
      </x:c>
      <x:c r="K425" s="176" t="str">
        <x:f t="shared" si="13"/>
      </x:c>
      <x:c r="L425" s="181" t="str">
        <x:f>IF($C425="","",IFERROR(IF(INDEX(Catalogo!$H$5:$H$86,MATCH($C425,Catalogo!$A$5:$A$86,0))="","",INDEX(Catalogo!$H$5:$H$86,MATCH($C425,Catalogo!$A$5:$A$86,0))),""))</x:f>
      </x:c>
      <x:c r="M425" s="176" t="str">
        <x:f>IF(OR($B425="",$L425=""),"",IFERROR(IF(INDEX(Obras!$H$5:$H$19,MATCH($B425,Obras!$A$5:$A$19,0))="","",IF(INDEX(Obras!$H$5:$H$19,MATCH($B425,Obras!$A$5:$A$19,0))&gt;$L425,"VENCIDA",IF($L425-INDEX(Obras!$H$5:$H$19,MATCH($B425,Obras!$A$5:$A$19,0))&lt;=0.5,"VENCE EM ATÉ 6 MESES","VIGENTE"))),""))</x:f>
      </x:c>
      <x:c r="N425" s="268"/>
    </x:row>
    <x:row r="426" ht="30" customHeight="1">
      <x:c r="A426" s="176" t="str">
        <x:f>IF(OR($B426="",$C426=""),"","LC-"&amp;TEXT(422,"0000"))</x:f>
      </x:c>
      <x:c r="B426" s="259"/>
      <x:c r="C426" s="259"/>
      <x:c r="D426" s="271" t="str">
        <x:f>IF($B426="","",IFERROR(IF(INDEX(Obras!$G$5:$G$19,MATCH($B426,Obras!$A$5:$A$19,0))="","",INDEX(Obras!$G$5:$G$19,MATCH($B426,Obras!$A$5:$A$19,0))),""))</x:f>
      </x:c>
      <x:c r="E426" s="259"/>
      <x:c r="F426" s="268"/>
      <x:c r="G426" s="259"/>
      <x:c r="H426" s="259"/>
      <x:c r="I426" s="259"/>
      <x:c r="J426" s="181" t="str">
        <x:f t="shared" si="12"/>
      </x:c>
      <x:c r="K426" s="176" t="str">
        <x:f t="shared" si="13"/>
      </x:c>
      <x:c r="L426" s="181" t="str">
        <x:f>IF($C426="","",IFERROR(IF(INDEX(Catalogo!$H$5:$H$86,MATCH($C426,Catalogo!$A$5:$A$86,0))="","",INDEX(Catalogo!$H$5:$H$86,MATCH($C426,Catalogo!$A$5:$A$86,0))),""))</x:f>
      </x:c>
      <x:c r="M426" s="176" t="str">
        <x:f>IF(OR($B426="",$L426=""),"",IFERROR(IF(INDEX(Obras!$H$5:$H$19,MATCH($B426,Obras!$A$5:$A$19,0))="","",IF(INDEX(Obras!$H$5:$H$19,MATCH($B426,Obras!$A$5:$A$19,0))&gt;$L426,"VENCIDA",IF($L426-INDEX(Obras!$H$5:$H$19,MATCH($B426,Obras!$A$5:$A$19,0))&lt;=0.5,"VENCE EM ATÉ 6 MESES","VIGENTE"))),""))</x:f>
      </x:c>
      <x:c r="N426" s="268"/>
    </x:row>
    <x:row r="427" ht="30" customHeight="1">
      <x:c r="A427" s="176" t="str">
        <x:f>IF(OR($B427="",$C427=""),"","LC-"&amp;TEXT(423,"0000"))</x:f>
      </x:c>
      <x:c r="B427" s="259"/>
      <x:c r="C427" s="259"/>
      <x:c r="D427" s="271" t="str">
        <x:f>IF($B427="","",IFERROR(IF(INDEX(Obras!$G$5:$G$19,MATCH($B427,Obras!$A$5:$A$19,0))="","",INDEX(Obras!$G$5:$G$19,MATCH($B427,Obras!$A$5:$A$19,0))),""))</x:f>
      </x:c>
      <x:c r="E427" s="259"/>
      <x:c r="F427" s="268"/>
      <x:c r="G427" s="259"/>
      <x:c r="H427" s="259"/>
      <x:c r="I427" s="259"/>
      <x:c r="J427" s="181" t="str">
        <x:f t="shared" si="12"/>
      </x:c>
      <x:c r="K427" s="176" t="str">
        <x:f t="shared" si="13"/>
      </x:c>
      <x:c r="L427" s="181" t="str">
        <x:f>IF($C427="","",IFERROR(IF(INDEX(Catalogo!$H$5:$H$86,MATCH($C427,Catalogo!$A$5:$A$86,0))="","",INDEX(Catalogo!$H$5:$H$86,MATCH($C427,Catalogo!$A$5:$A$86,0))),""))</x:f>
      </x:c>
      <x:c r="M427" s="176" t="str">
        <x:f>IF(OR($B427="",$L427=""),"",IFERROR(IF(INDEX(Obras!$H$5:$H$19,MATCH($B427,Obras!$A$5:$A$19,0))="","",IF(INDEX(Obras!$H$5:$H$19,MATCH($B427,Obras!$A$5:$A$19,0))&gt;$L427,"VENCIDA",IF($L427-INDEX(Obras!$H$5:$H$19,MATCH($B427,Obras!$A$5:$A$19,0))&lt;=0.5,"VENCE EM ATÉ 6 MESES","VIGENTE"))),""))</x:f>
      </x:c>
      <x:c r="N427" s="268"/>
    </x:row>
    <x:row r="428" ht="30" customHeight="1">
      <x:c r="A428" s="176" t="str">
        <x:f>IF(OR($B428="",$C428=""),"","LC-"&amp;TEXT(424,"0000"))</x:f>
      </x:c>
      <x:c r="B428" s="259"/>
      <x:c r="C428" s="259"/>
      <x:c r="D428" s="271" t="str">
        <x:f>IF($B428="","",IFERROR(IF(INDEX(Obras!$G$5:$G$19,MATCH($B428,Obras!$A$5:$A$19,0))="","",INDEX(Obras!$G$5:$G$19,MATCH($B428,Obras!$A$5:$A$19,0))),""))</x:f>
      </x:c>
      <x:c r="E428" s="259"/>
      <x:c r="F428" s="268"/>
      <x:c r="G428" s="259"/>
      <x:c r="H428" s="259"/>
      <x:c r="I428" s="259"/>
      <x:c r="J428" s="181" t="str">
        <x:f t="shared" si="12"/>
      </x:c>
      <x:c r="K428" s="176" t="str">
        <x:f t="shared" si="13"/>
      </x:c>
      <x:c r="L428" s="181" t="str">
        <x:f>IF($C428="","",IFERROR(IF(INDEX(Catalogo!$H$5:$H$86,MATCH($C428,Catalogo!$A$5:$A$86,0))="","",INDEX(Catalogo!$H$5:$H$86,MATCH($C428,Catalogo!$A$5:$A$86,0))),""))</x:f>
      </x:c>
      <x:c r="M428" s="176" t="str">
        <x:f>IF(OR($B428="",$L428=""),"",IFERROR(IF(INDEX(Obras!$H$5:$H$19,MATCH($B428,Obras!$A$5:$A$19,0))="","",IF(INDEX(Obras!$H$5:$H$19,MATCH($B428,Obras!$A$5:$A$19,0))&gt;$L428,"VENCIDA",IF($L428-INDEX(Obras!$H$5:$H$19,MATCH($B428,Obras!$A$5:$A$19,0))&lt;=0.5,"VENCE EM ATÉ 6 MESES","VIGENTE"))),""))</x:f>
      </x:c>
      <x:c r="N428" s="268"/>
    </x:row>
    <x:row r="429" ht="30" customHeight="1">
      <x:c r="A429" s="176" t="str">
        <x:f>IF(OR($B429="",$C429=""),"","LC-"&amp;TEXT(425,"0000"))</x:f>
      </x:c>
      <x:c r="B429" s="259"/>
      <x:c r="C429" s="259"/>
      <x:c r="D429" s="271" t="str">
        <x:f>IF($B429="","",IFERROR(IF(INDEX(Obras!$G$5:$G$19,MATCH($B429,Obras!$A$5:$A$19,0))="","",INDEX(Obras!$G$5:$G$19,MATCH($B429,Obras!$A$5:$A$19,0))),""))</x:f>
      </x:c>
      <x:c r="E429" s="259"/>
      <x:c r="F429" s="268"/>
      <x:c r="G429" s="259"/>
      <x:c r="H429" s="259"/>
      <x:c r="I429" s="259"/>
      <x:c r="J429" s="181" t="str">
        <x:f t="shared" si="12"/>
      </x:c>
      <x:c r="K429" s="176" t="str">
        <x:f t="shared" si="13"/>
      </x:c>
      <x:c r="L429" s="181" t="str">
        <x:f>IF($C429="","",IFERROR(IF(INDEX(Catalogo!$H$5:$H$86,MATCH($C429,Catalogo!$A$5:$A$86,0))="","",INDEX(Catalogo!$H$5:$H$86,MATCH($C429,Catalogo!$A$5:$A$86,0))),""))</x:f>
      </x:c>
      <x:c r="M429" s="176" t="str">
        <x:f>IF(OR($B429="",$L429=""),"",IFERROR(IF(INDEX(Obras!$H$5:$H$19,MATCH($B429,Obras!$A$5:$A$19,0))="","",IF(INDEX(Obras!$H$5:$H$19,MATCH($B429,Obras!$A$5:$A$19,0))&gt;$L429,"VENCIDA",IF($L429-INDEX(Obras!$H$5:$H$19,MATCH($B429,Obras!$A$5:$A$19,0))&lt;=0.5,"VENCE EM ATÉ 6 MESES","VIGENTE"))),""))</x:f>
      </x:c>
      <x:c r="N429" s="268"/>
    </x:row>
    <x:row r="430" ht="30" customHeight="1">
      <x:c r="A430" s="176" t="str">
        <x:f>IF(OR($B430="",$C430=""),"","LC-"&amp;TEXT(426,"0000"))</x:f>
      </x:c>
      <x:c r="B430" s="259"/>
      <x:c r="C430" s="259"/>
      <x:c r="D430" s="271" t="str">
        <x:f>IF($B430="","",IFERROR(IF(INDEX(Obras!$G$5:$G$19,MATCH($B430,Obras!$A$5:$A$19,0))="","",INDEX(Obras!$G$5:$G$19,MATCH($B430,Obras!$A$5:$A$19,0))),""))</x:f>
      </x:c>
      <x:c r="E430" s="259"/>
      <x:c r="F430" s="268"/>
      <x:c r="G430" s="259"/>
      <x:c r="H430" s="259"/>
      <x:c r="I430" s="259"/>
      <x:c r="J430" s="181" t="str">
        <x:f t="shared" si="12"/>
      </x:c>
      <x:c r="K430" s="176" t="str">
        <x:f t="shared" si="13"/>
      </x:c>
      <x:c r="L430" s="181" t="str">
        <x:f>IF($C430="","",IFERROR(IF(INDEX(Catalogo!$H$5:$H$86,MATCH($C430,Catalogo!$A$5:$A$86,0))="","",INDEX(Catalogo!$H$5:$H$86,MATCH($C430,Catalogo!$A$5:$A$86,0))),""))</x:f>
      </x:c>
      <x:c r="M430" s="176" t="str">
        <x:f>IF(OR($B430="",$L430=""),"",IFERROR(IF(INDEX(Obras!$H$5:$H$19,MATCH($B430,Obras!$A$5:$A$19,0))="","",IF(INDEX(Obras!$H$5:$H$19,MATCH($B430,Obras!$A$5:$A$19,0))&gt;$L430,"VENCIDA",IF($L430-INDEX(Obras!$H$5:$H$19,MATCH($B430,Obras!$A$5:$A$19,0))&lt;=0.5,"VENCE EM ATÉ 6 MESES","VIGENTE"))),""))</x:f>
      </x:c>
      <x:c r="N430" s="268"/>
    </x:row>
    <x:row r="431" ht="30" customHeight="1">
      <x:c r="A431" s="176" t="str">
        <x:f>IF(OR($B431="",$C431=""),"","LC-"&amp;TEXT(427,"0000"))</x:f>
      </x:c>
      <x:c r="B431" s="259"/>
      <x:c r="C431" s="259"/>
      <x:c r="D431" s="271" t="str">
        <x:f>IF($B431="","",IFERROR(IF(INDEX(Obras!$G$5:$G$19,MATCH($B431,Obras!$A$5:$A$19,0))="","",INDEX(Obras!$G$5:$G$19,MATCH($B431,Obras!$A$5:$A$19,0))),""))</x:f>
      </x:c>
      <x:c r="E431" s="259"/>
      <x:c r="F431" s="268"/>
      <x:c r="G431" s="259"/>
      <x:c r="H431" s="259"/>
      <x:c r="I431" s="259"/>
      <x:c r="J431" s="181" t="str">
        <x:f t="shared" si="12"/>
      </x:c>
      <x:c r="K431" s="176" t="str">
        <x:f t="shared" si="13"/>
      </x:c>
      <x:c r="L431" s="181" t="str">
        <x:f>IF($C431="","",IFERROR(IF(INDEX(Catalogo!$H$5:$H$86,MATCH($C431,Catalogo!$A$5:$A$86,0))="","",INDEX(Catalogo!$H$5:$H$86,MATCH($C431,Catalogo!$A$5:$A$86,0))),""))</x:f>
      </x:c>
      <x:c r="M431" s="176" t="str">
        <x:f>IF(OR($B431="",$L431=""),"",IFERROR(IF(INDEX(Obras!$H$5:$H$19,MATCH($B431,Obras!$A$5:$A$19,0))="","",IF(INDEX(Obras!$H$5:$H$19,MATCH($B431,Obras!$A$5:$A$19,0))&gt;$L431,"VENCIDA",IF($L431-INDEX(Obras!$H$5:$H$19,MATCH($B431,Obras!$A$5:$A$19,0))&lt;=0.5,"VENCE EM ATÉ 6 MESES","VIGENTE"))),""))</x:f>
      </x:c>
      <x:c r="N431" s="268"/>
    </x:row>
    <x:row r="432" ht="30" customHeight="1">
      <x:c r="A432" s="176" t="str">
        <x:f>IF(OR($B432="",$C432=""),"","LC-"&amp;TEXT(428,"0000"))</x:f>
      </x:c>
      <x:c r="B432" s="259"/>
      <x:c r="C432" s="259"/>
      <x:c r="D432" s="271" t="str">
        <x:f>IF($B432="","",IFERROR(IF(INDEX(Obras!$G$5:$G$19,MATCH($B432,Obras!$A$5:$A$19,0))="","",INDEX(Obras!$G$5:$G$19,MATCH($B432,Obras!$A$5:$A$19,0))),""))</x:f>
      </x:c>
      <x:c r="E432" s="259"/>
      <x:c r="F432" s="268"/>
      <x:c r="G432" s="259"/>
      <x:c r="H432" s="259"/>
      <x:c r="I432" s="259"/>
      <x:c r="J432" s="181" t="str">
        <x:f t="shared" si="12"/>
      </x:c>
      <x:c r="K432" s="176" t="str">
        <x:f t="shared" si="13"/>
      </x:c>
      <x:c r="L432" s="181" t="str">
        <x:f>IF($C432="","",IFERROR(IF(INDEX(Catalogo!$H$5:$H$86,MATCH($C432,Catalogo!$A$5:$A$86,0))="","",INDEX(Catalogo!$H$5:$H$86,MATCH($C432,Catalogo!$A$5:$A$86,0))),""))</x:f>
      </x:c>
      <x:c r="M432" s="176" t="str">
        <x:f>IF(OR($B432="",$L432=""),"",IFERROR(IF(INDEX(Obras!$H$5:$H$19,MATCH($B432,Obras!$A$5:$A$19,0))="","",IF(INDEX(Obras!$H$5:$H$19,MATCH($B432,Obras!$A$5:$A$19,0))&gt;$L432,"VENCIDA",IF($L432-INDEX(Obras!$H$5:$H$19,MATCH($B432,Obras!$A$5:$A$19,0))&lt;=0.5,"VENCE EM ATÉ 6 MESES","VIGENTE"))),""))</x:f>
      </x:c>
      <x:c r="N432" s="268"/>
    </x:row>
    <x:row r="433" ht="30" customHeight="1">
      <x:c r="A433" s="176" t="str">
        <x:f>IF(OR($B433="",$C433=""),"","LC-"&amp;TEXT(429,"0000"))</x:f>
      </x:c>
      <x:c r="B433" s="259"/>
      <x:c r="C433" s="259"/>
      <x:c r="D433" s="271" t="str">
        <x:f>IF($B433="","",IFERROR(IF(INDEX(Obras!$G$5:$G$19,MATCH($B433,Obras!$A$5:$A$19,0))="","",INDEX(Obras!$G$5:$G$19,MATCH($B433,Obras!$A$5:$A$19,0))),""))</x:f>
      </x:c>
      <x:c r="E433" s="259"/>
      <x:c r="F433" s="268"/>
      <x:c r="G433" s="259"/>
      <x:c r="H433" s="259"/>
      <x:c r="I433" s="259"/>
      <x:c r="J433" s="181" t="str">
        <x:f t="shared" si="12"/>
      </x:c>
      <x:c r="K433" s="176" t="str">
        <x:f t="shared" si="13"/>
      </x:c>
      <x:c r="L433" s="181" t="str">
        <x:f>IF($C433="","",IFERROR(IF(INDEX(Catalogo!$H$5:$H$86,MATCH($C433,Catalogo!$A$5:$A$86,0))="","",INDEX(Catalogo!$H$5:$H$86,MATCH($C433,Catalogo!$A$5:$A$86,0))),""))</x:f>
      </x:c>
      <x:c r="M433" s="176" t="str">
        <x:f>IF(OR($B433="",$L433=""),"",IFERROR(IF(INDEX(Obras!$H$5:$H$19,MATCH($B433,Obras!$A$5:$A$19,0))="","",IF(INDEX(Obras!$H$5:$H$19,MATCH($B433,Obras!$A$5:$A$19,0))&gt;$L433,"VENCIDA",IF($L433-INDEX(Obras!$H$5:$H$19,MATCH($B433,Obras!$A$5:$A$19,0))&lt;=0.5,"VENCE EM ATÉ 6 MESES","VIGENTE"))),""))</x:f>
      </x:c>
      <x:c r="N433" s="268"/>
    </x:row>
    <x:row r="434" ht="30" customHeight="1">
      <x:c r="A434" s="176" t="str">
        <x:f>IF(OR($B434="",$C434=""),"","LC-"&amp;TEXT(430,"0000"))</x:f>
      </x:c>
      <x:c r="B434" s="259"/>
      <x:c r="C434" s="259"/>
      <x:c r="D434" s="271" t="str">
        <x:f>IF($B434="","",IFERROR(IF(INDEX(Obras!$G$5:$G$19,MATCH($B434,Obras!$A$5:$A$19,0))="","",INDEX(Obras!$G$5:$G$19,MATCH($B434,Obras!$A$5:$A$19,0))),""))</x:f>
      </x:c>
      <x:c r="E434" s="259"/>
      <x:c r="F434" s="268"/>
      <x:c r="G434" s="259"/>
      <x:c r="H434" s="259"/>
      <x:c r="I434" s="259"/>
      <x:c r="J434" s="181" t="str">
        <x:f t="shared" si="12"/>
      </x:c>
      <x:c r="K434" s="176" t="str">
        <x:f t="shared" si="13"/>
      </x:c>
      <x:c r="L434" s="181" t="str">
        <x:f>IF($C434="","",IFERROR(IF(INDEX(Catalogo!$H$5:$H$86,MATCH($C434,Catalogo!$A$5:$A$86,0))="","",INDEX(Catalogo!$H$5:$H$86,MATCH($C434,Catalogo!$A$5:$A$86,0))),""))</x:f>
      </x:c>
      <x:c r="M434" s="176" t="str">
        <x:f>IF(OR($B434="",$L434=""),"",IFERROR(IF(INDEX(Obras!$H$5:$H$19,MATCH($B434,Obras!$A$5:$A$19,0))="","",IF(INDEX(Obras!$H$5:$H$19,MATCH($B434,Obras!$A$5:$A$19,0))&gt;$L434,"VENCIDA",IF($L434-INDEX(Obras!$H$5:$H$19,MATCH($B434,Obras!$A$5:$A$19,0))&lt;=0.5,"VENCE EM ATÉ 6 MESES","VIGENTE"))),""))</x:f>
      </x:c>
      <x:c r="N434" s="268"/>
    </x:row>
    <x:row r="435" ht="30" customHeight="1">
      <x:c r="A435" s="176" t="str">
        <x:f>IF(OR($B435="",$C435=""),"","LC-"&amp;TEXT(431,"0000"))</x:f>
      </x:c>
      <x:c r="B435" s="259"/>
      <x:c r="C435" s="259"/>
      <x:c r="D435" s="271" t="str">
        <x:f>IF($B435="","",IFERROR(IF(INDEX(Obras!$G$5:$G$19,MATCH($B435,Obras!$A$5:$A$19,0))="","",INDEX(Obras!$G$5:$G$19,MATCH($B435,Obras!$A$5:$A$19,0))),""))</x:f>
      </x:c>
      <x:c r="E435" s="259"/>
      <x:c r="F435" s="268"/>
      <x:c r="G435" s="259"/>
      <x:c r="H435" s="259"/>
      <x:c r="I435" s="259"/>
      <x:c r="J435" s="181" t="str">
        <x:f t="shared" si="12"/>
      </x:c>
      <x:c r="K435" s="176" t="str">
        <x:f t="shared" si="13"/>
      </x:c>
      <x:c r="L435" s="181" t="str">
        <x:f>IF($C435="","",IFERROR(IF(INDEX(Catalogo!$H$5:$H$86,MATCH($C435,Catalogo!$A$5:$A$86,0))="","",INDEX(Catalogo!$H$5:$H$86,MATCH($C435,Catalogo!$A$5:$A$86,0))),""))</x:f>
      </x:c>
      <x:c r="M435" s="176" t="str">
        <x:f>IF(OR($B435="",$L435=""),"",IFERROR(IF(INDEX(Obras!$H$5:$H$19,MATCH($B435,Obras!$A$5:$A$19,0))="","",IF(INDEX(Obras!$H$5:$H$19,MATCH($B435,Obras!$A$5:$A$19,0))&gt;$L435,"VENCIDA",IF($L435-INDEX(Obras!$H$5:$H$19,MATCH($B435,Obras!$A$5:$A$19,0))&lt;=0.5,"VENCE EM ATÉ 6 MESES","VIGENTE"))),""))</x:f>
      </x:c>
      <x:c r="N435" s="268"/>
    </x:row>
    <x:row r="436" ht="30" customHeight="1">
      <x:c r="A436" s="176" t="str">
        <x:f>IF(OR($B436="",$C436=""),"","LC-"&amp;TEXT(432,"0000"))</x:f>
      </x:c>
      <x:c r="B436" s="259"/>
      <x:c r="C436" s="259"/>
      <x:c r="D436" s="271" t="str">
        <x:f>IF($B436="","",IFERROR(IF(INDEX(Obras!$G$5:$G$19,MATCH($B436,Obras!$A$5:$A$19,0))="","",INDEX(Obras!$G$5:$G$19,MATCH($B436,Obras!$A$5:$A$19,0))),""))</x:f>
      </x:c>
      <x:c r="E436" s="259"/>
      <x:c r="F436" s="268"/>
      <x:c r="G436" s="259"/>
      <x:c r="H436" s="259"/>
      <x:c r="I436" s="259"/>
      <x:c r="J436" s="181" t="str">
        <x:f t="shared" si="12"/>
      </x:c>
      <x:c r="K436" s="176" t="str">
        <x:f t="shared" si="13"/>
      </x:c>
      <x:c r="L436" s="181" t="str">
        <x:f>IF($C436="","",IFERROR(IF(INDEX(Catalogo!$H$5:$H$86,MATCH($C436,Catalogo!$A$5:$A$86,0))="","",INDEX(Catalogo!$H$5:$H$86,MATCH($C436,Catalogo!$A$5:$A$86,0))),""))</x:f>
      </x:c>
      <x:c r="M436" s="176" t="str">
        <x:f>IF(OR($B436="",$L436=""),"",IFERROR(IF(INDEX(Obras!$H$5:$H$19,MATCH($B436,Obras!$A$5:$A$19,0))="","",IF(INDEX(Obras!$H$5:$H$19,MATCH($B436,Obras!$A$5:$A$19,0))&gt;$L436,"VENCIDA",IF($L436-INDEX(Obras!$H$5:$H$19,MATCH($B436,Obras!$A$5:$A$19,0))&lt;=0.5,"VENCE EM ATÉ 6 MESES","VIGENTE"))),""))</x:f>
      </x:c>
      <x:c r="N436" s="268"/>
    </x:row>
    <x:row r="437" ht="30" customHeight="1">
      <x:c r="A437" s="176" t="str">
        <x:f>IF(OR($B437="",$C437=""),"","LC-"&amp;TEXT(433,"0000"))</x:f>
      </x:c>
      <x:c r="B437" s="259"/>
      <x:c r="C437" s="259"/>
      <x:c r="D437" s="271" t="str">
        <x:f>IF($B437="","",IFERROR(IF(INDEX(Obras!$G$5:$G$19,MATCH($B437,Obras!$A$5:$A$19,0))="","",INDEX(Obras!$G$5:$G$19,MATCH($B437,Obras!$A$5:$A$19,0))),""))</x:f>
      </x:c>
      <x:c r="E437" s="259"/>
      <x:c r="F437" s="268"/>
      <x:c r="G437" s="259"/>
      <x:c r="H437" s="259"/>
      <x:c r="I437" s="259"/>
      <x:c r="J437" s="181" t="str">
        <x:f t="shared" si="12"/>
      </x:c>
      <x:c r="K437" s="176" t="str">
        <x:f t="shared" si="13"/>
      </x:c>
      <x:c r="L437" s="181" t="str">
        <x:f>IF($C437="","",IFERROR(IF(INDEX(Catalogo!$H$5:$H$86,MATCH($C437,Catalogo!$A$5:$A$86,0))="","",INDEX(Catalogo!$H$5:$H$86,MATCH($C437,Catalogo!$A$5:$A$86,0))),""))</x:f>
      </x:c>
      <x:c r="M437" s="176" t="str">
        <x:f>IF(OR($B437="",$L437=""),"",IFERROR(IF(INDEX(Obras!$H$5:$H$19,MATCH($B437,Obras!$A$5:$A$19,0))="","",IF(INDEX(Obras!$H$5:$H$19,MATCH($B437,Obras!$A$5:$A$19,0))&gt;$L437,"VENCIDA",IF($L437-INDEX(Obras!$H$5:$H$19,MATCH($B437,Obras!$A$5:$A$19,0))&lt;=0.5,"VENCE EM ATÉ 6 MESES","VIGENTE"))),""))</x:f>
      </x:c>
      <x:c r="N437" s="268"/>
    </x:row>
    <x:row r="438" ht="30" customHeight="1">
      <x:c r="A438" s="176" t="str">
        <x:f>IF(OR($B438="",$C438=""),"","LC-"&amp;TEXT(434,"0000"))</x:f>
      </x:c>
      <x:c r="B438" s="259"/>
      <x:c r="C438" s="259"/>
      <x:c r="D438" s="271" t="str">
        <x:f>IF($B438="","",IFERROR(IF(INDEX(Obras!$G$5:$G$19,MATCH($B438,Obras!$A$5:$A$19,0))="","",INDEX(Obras!$G$5:$G$19,MATCH($B438,Obras!$A$5:$A$19,0))),""))</x:f>
      </x:c>
      <x:c r="E438" s="259"/>
      <x:c r="F438" s="268"/>
      <x:c r="G438" s="259"/>
      <x:c r="H438" s="259"/>
      <x:c r="I438" s="259"/>
      <x:c r="J438" s="181" t="str">
        <x:f t="shared" si="12"/>
      </x:c>
      <x:c r="K438" s="176" t="str">
        <x:f t="shared" si="13"/>
      </x:c>
      <x:c r="L438" s="181" t="str">
        <x:f>IF($C438="","",IFERROR(IF(INDEX(Catalogo!$H$5:$H$86,MATCH($C438,Catalogo!$A$5:$A$86,0))="","",INDEX(Catalogo!$H$5:$H$86,MATCH($C438,Catalogo!$A$5:$A$86,0))),""))</x:f>
      </x:c>
      <x:c r="M438" s="176" t="str">
        <x:f>IF(OR($B438="",$L438=""),"",IFERROR(IF(INDEX(Obras!$H$5:$H$19,MATCH($B438,Obras!$A$5:$A$19,0))="","",IF(INDEX(Obras!$H$5:$H$19,MATCH($B438,Obras!$A$5:$A$19,0))&gt;$L438,"VENCIDA",IF($L438-INDEX(Obras!$H$5:$H$19,MATCH($B438,Obras!$A$5:$A$19,0))&lt;=0.5,"VENCE EM ATÉ 6 MESES","VIGENTE"))),""))</x:f>
      </x:c>
      <x:c r="N438" s="268"/>
    </x:row>
    <x:row r="439" ht="30" customHeight="1">
      <x:c r="A439" s="176" t="str">
        <x:f>IF(OR($B439="",$C439=""),"","LC-"&amp;TEXT(435,"0000"))</x:f>
      </x:c>
      <x:c r="B439" s="259"/>
      <x:c r="C439" s="259"/>
      <x:c r="D439" s="271" t="str">
        <x:f>IF($B439="","",IFERROR(IF(INDEX(Obras!$G$5:$G$19,MATCH($B439,Obras!$A$5:$A$19,0))="","",INDEX(Obras!$G$5:$G$19,MATCH($B439,Obras!$A$5:$A$19,0))),""))</x:f>
      </x:c>
      <x:c r="E439" s="259"/>
      <x:c r="F439" s="268"/>
      <x:c r="G439" s="259"/>
      <x:c r="H439" s="259"/>
      <x:c r="I439" s="259"/>
      <x:c r="J439" s="181" t="str">
        <x:f t="shared" si="12"/>
      </x:c>
      <x:c r="K439" s="176" t="str">
        <x:f t="shared" si="13"/>
      </x:c>
      <x:c r="L439" s="181" t="str">
        <x:f>IF($C439="","",IFERROR(IF(INDEX(Catalogo!$H$5:$H$86,MATCH($C439,Catalogo!$A$5:$A$86,0))="","",INDEX(Catalogo!$H$5:$H$86,MATCH($C439,Catalogo!$A$5:$A$86,0))),""))</x:f>
      </x:c>
      <x:c r="M439" s="176" t="str">
        <x:f>IF(OR($B439="",$L439=""),"",IFERROR(IF(INDEX(Obras!$H$5:$H$19,MATCH($B439,Obras!$A$5:$A$19,0))="","",IF(INDEX(Obras!$H$5:$H$19,MATCH($B439,Obras!$A$5:$A$19,0))&gt;$L439,"VENCIDA",IF($L439-INDEX(Obras!$H$5:$H$19,MATCH($B439,Obras!$A$5:$A$19,0))&lt;=0.5,"VENCE EM ATÉ 6 MESES","VIGENTE"))),""))</x:f>
      </x:c>
      <x:c r="N439" s="268"/>
    </x:row>
    <x:row r="440" ht="30" customHeight="1">
      <x:c r="A440" s="176" t="str">
        <x:f>IF(OR($B440="",$C440=""),"","LC-"&amp;TEXT(436,"0000"))</x:f>
      </x:c>
      <x:c r="B440" s="259"/>
      <x:c r="C440" s="259"/>
      <x:c r="D440" s="271" t="str">
        <x:f>IF($B440="","",IFERROR(IF(INDEX(Obras!$G$5:$G$19,MATCH($B440,Obras!$A$5:$A$19,0))="","",INDEX(Obras!$G$5:$G$19,MATCH($B440,Obras!$A$5:$A$19,0))),""))</x:f>
      </x:c>
      <x:c r="E440" s="259"/>
      <x:c r="F440" s="268"/>
      <x:c r="G440" s="259"/>
      <x:c r="H440" s="259"/>
      <x:c r="I440" s="259"/>
      <x:c r="J440" s="181" t="str">
        <x:f t="shared" si="12"/>
      </x:c>
      <x:c r="K440" s="176" t="str">
        <x:f t="shared" si="13"/>
      </x:c>
      <x:c r="L440" s="181" t="str">
        <x:f>IF($C440="","",IFERROR(IF(INDEX(Catalogo!$H$5:$H$86,MATCH($C440,Catalogo!$A$5:$A$86,0))="","",INDEX(Catalogo!$H$5:$H$86,MATCH($C440,Catalogo!$A$5:$A$86,0))),""))</x:f>
      </x:c>
      <x:c r="M440" s="176" t="str">
        <x:f>IF(OR($B440="",$L440=""),"",IFERROR(IF(INDEX(Obras!$H$5:$H$19,MATCH($B440,Obras!$A$5:$A$19,0))="","",IF(INDEX(Obras!$H$5:$H$19,MATCH($B440,Obras!$A$5:$A$19,0))&gt;$L440,"VENCIDA",IF($L440-INDEX(Obras!$H$5:$H$19,MATCH($B440,Obras!$A$5:$A$19,0))&lt;=0.5,"VENCE EM ATÉ 6 MESES","VIGENTE"))),""))</x:f>
      </x:c>
      <x:c r="N440" s="268"/>
    </x:row>
    <x:row r="441" ht="30" customHeight="1">
      <x:c r="A441" s="176" t="str">
        <x:f>IF(OR($B441="",$C441=""),"","LC-"&amp;TEXT(437,"0000"))</x:f>
      </x:c>
      <x:c r="B441" s="259"/>
      <x:c r="C441" s="259"/>
      <x:c r="D441" s="271" t="str">
        <x:f>IF($B441="","",IFERROR(IF(INDEX(Obras!$G$5:$G$19,MATCH($B441,Obras!$A$5:$A$19,0))="","",INDEX(Obras!$G$5:$G$19,MATCH($B441,Obras!$A$5:$A$19,0))),""))</x:f>
      </x:c>
      <x:c r="E441" s="259"/>
      <x:c r="F441" s="268"/>
      <x:c r="G441" s="259"/>
      <x:c r="H441" s="259"/>
      <x:c r="I441" s="259"/>
      <x:c r="J441" s="181" t="str">
        <x:f t="shared" si="12"/>
      </x:c>
      <x:c r="K441" s="176" t="str">
        <x:f t="shared" si="13"/>
      </x:c>
      <x:c r="L441" s="181" t="str">
        <x:f>IF($C441="","",IFERROR(IF(INDEX(Catalogo!$H$5:$H$86,MATCH($C441,Catalogo!$A$5:$A$86,0))="","",INDEX(Catalogo!$H$5:$H$86,MATCH($C441,Catalogo!$A$5:$A$86,0))),""))</x:f>
      </x:c>
      <x:c r="M441" s="176" t="str">
        <x:f>IF(OR($B441="",$L441=""),"",IFERROR(IF(INDEX(Obras!$H$5:$H$19,MATCH($B441,Obras!$A$5:$A$19,0))="","",IF(INDEX(Obras!$H$5:$H$19,MATCH($B441,Obras!$A$5:$A$19,0))&gt;$L441,"VENCIDA",IF($L441-INDEX(Obras!$H$5:$H$19,MATCH($B441,Obras!$A$5:$A$19,0))&lt;=0.5,"VENCE EM ATÉ 6 MESES","VIGENTE"))),""))</x:f>
      </x:c>
      <x:c r="N441" s="268"/>
    </x:row>
    <x:row r="442" ht="30" customHeight="1">
      <x:c r="A442" s="176" t="str">
        <x:f>IF(OR($B442="",$C442=""),"","LC-"&amp;TEXT(438,"0000"))</x:f>
      </x:c>
      <x:c r="B442" s="259"/>
      <x:c r="C442" s="259"/>
      <x:c r="D442" s="271" t="str">
        <x:f>IF($B442="","",IFERROR(IF(INDEX(Obras!$G$5:$G$19,MATCH($B442,Obras!$A$5:$A$19,0))="","",INDEX(Obras!$G$5:$G$19,MATCH($B442,Obras!$A$5:$A$19,0))),""))</x:f>
      </x:c>
      <x:c r="E442" s="259"/>
      <x:c r="F442" s="268"/>
      <x:c r="G442" s="259"/>
      <x:c r="H442" s="259"/>
      <x:c r="I442" s="259"/>
      <x:c r="J442" s="181" t="str">
        <x:f t="shared" si="12"/>
      </x:c>
      <x:c r="K442" s="176" t="str">
        <x:f t="shared" si="13"/>
      </x:c>
      <x:c r="L442" s="181" t="str">
        <x:f>IF($C442="","",IFERROR(IF(INDEX(Catalogo!$H$5:$H$86,MATCH($C442,Catalogo!$A$5:$A$86,0))="","",INDEX(Catalogo!$H$5:$H$86,MATCH($C442,Catalogo!$A$5:$A$86,0))),""))</x:f>
      </x:c>
      <x:c r="M442" s="176" t="str">
        <x:f>IF(OR($B442="",$L442=""),"",IFERROR(IF(INDEX(Obras!$H$5:$H$19,MATCH($B442,Obras!$A$5:$A$19,0))="","",IF(INDEX(Obras!$H$5:$H$19,MATCH($B442,Obras!$A$5:$A$19,0))&gt;$L442,"VENCIDA",IF($L442-INDEX(Obras!$H$5:$H$19,MATCH($B442,Obras!$A$5:$A$19,0))&lt;=0.5,"VENCE EM ATÉ 6 MESES","VIGENTE"))),""))</x:f>
      </x:c>
      <x:c r="N442" s="268"/>
    </x:row>
    <x:row r="443" ht="30" customHeight="1">
      <x:c r="A443" s="176" t="str">
        <x:f>IF(OR($B443="",$C443=""),"","LC-"&amp;TEXT(439,"0000"))</x:f>
      </x:c>
      <x:c r="B443" s="259"/>
      <x:c r="C443" s="259"/>
      <x:c r="D443" s="271" t="str">
        <x:f>IF($B443="","",IFERROR(IF(INDEX(Obras!$G$5:$G$19,MATCH($B443,Obras!$A$5:$A$19,0))="","",INDEX(Obras!$G$5:$G$19,MATCH($B443,Obras!$A$5:$A$19,0))),""))</x:f>
      </x:c>
      <x:c r="E443" s="259"/>
      <x:c r="F443" s="268"/>
      <x:c r="G443" s="259"/>
      <x:c r="H443" s="259"/>
      <x:c r="I443" s="259"/>
      <x:c r="J443" s="181" t="str">
        <x:f t="shared" si="12"/>
      </x:c>
      <x:c r="K443" s="176" t="str">
        <x:f t="shared" si="13"/>
      </x:c>
      <x:c r="L443" s="181" t="str">
        <x:f>IF($C443="","",IFERROR(IF(INDEX(Catalogo!$H$5:$H$86,MATCH($C443,Catalogo!$A$5:$A$86,0))="","",INDEX(Catalogo!$H$5:$H$86,MATCH($C443,Catalogo!$A$5:$A$86,0))),""))</x:f>
      </x:c>
      <x:c r="M443" s="176" t="str">
        <x:f>IF(OR($B443="",$L443=""),"",IFERROR(IF(INDEX(Obras!$H$5:$H$19,MATCH($B443,Obras!$A$5:$A$19,0))="","",IF(INDEX(Obras!$H$5:$H$19,MATCH($B443,Obras!$A$5:$A$19,0))&gt;$L443,"VENCIDA",IF($L443-INDEX(Obras!$H$5:$H$19,MATCH($B443,Obras!$A$5:$A$19,0))&lt;=0.5,"VENCE EM ATÉ 6 MESES","VIGENTE"))),""))</x:f>
      </x:c>
      <x:c r="N443" s="268"/>
    </x:row>
    <x:row r="444" ht="30" customHeight="1">
      <x:c r="A444" s="176" t="str">
        <x:f>IF(OR($B444="",$C444=""),"","LC-"&amp;TEXT(440,"0000"))</x:f>
      </x:c>
      <x:c r="B444" s="259"/>
      <x:c r="C444" s="259"/>
      <x:c r="D444" s="271" t="str">
        <x:f>IF($B444="","",IFERROR(IF(INDEX(Obras!$G$5:$G$19,MATCH($B444,Obras!$A$5:$A$19,0))="","",INDEX(Obras!$G$5:$G$19,MATCH($B444,Obras!$A$5:$A$19,0))),""))</x:f>
      </x:c>
      <x:c r="E444" s="259"/>
      <x:c r="F444" s="268"/>
      <x:c r="G444" s="259"/>
      <x:c r="H444" s="259"/>
      <x:c r="I444" s="259"/>
      <x:c r="J444" s="181" t="str">
        <x:f t="shared" si="12"/>
      </x:c>
      <x:c r="K444" s="176" t="str">
        <x:f t="shared" si="13"/>
      </x:c>
      <x:c r="L444" s="181" t="str">
        <x:f>IF($C444="","",IFERROR(IF(INDEX(Catalogo!$H$5:$H$86,MATCH($C444,Catalogo!$A$5:$A$86,0))="","",INDEX(Catalogo!$H$5:$H$86,MATCH($C444,Catalogo!$A$5:$A$86,0))),""))</x:f>
      </x:c>
      <x:c r="M444" s="176" t="str">
        <x:f>IF(OR($B444="",$L444=""),"",IFERROR(IF(INDEX(Obras!$H$5:$H$19,MATCH($B444,Obras!$A$5:$A$19,0))="","",IF(INDEX(Obras!$H$5:$H$19,MATCH($B444,Obras!$A$5:$A$19,0))&gt;$L444,"VENCIDA",IF($L444-INDEX(Obras!$H$5:$H$19,MATCH($B444,Obras!$A$5:$A$19,0))&lt;=0.5,"VENCE EM ATÉ 6 MESES","VIGENTE"))),""))</x:f>
      </x:c>
      <x:c r="N444" s="268"/>
    </x:row>
    <x:row r="445" ht="30" customHeight="1">
      <x:c r="A445" s="176" t="str">
        <x:f>IF(OR($B445="",$C445=""),"","LC-"&amp;TEXT(441,"0000"))</x:f>
      </x:c>
      <x:c r="B445" s="259"/>
      <x:c r="C445" s="259"/>
      <x:c r="D445" s="271" t="str">
        <x:f>IF($B445="","",IFERROR(IF(INDEX(Obras!$G$5:$G$19,MATCH($B445,Obras!$A$5:$A$19,0))="","",INDEX(Obras!$G$5:$G$19,MATCH($B445,Obras!$A$5:$A$19,0))),""))</x:f>
      </x:c>
      <x:c r="E445" s="259"/>
      <x:c r="F445" s="268"/>
      <x:c r="G445" s="259"/>
      <x:c r="H445" s="259"/>
      <x:c r="I445" s="259"/>
      <x:c r="J445" s="181" t="str">
        <x:f t="shared" si="12"/>
      </x:c>
      <x:c r="K445" s="176" t="str">
        <x:f t="shared" si="13"/>
      </x:c>
      <x:c r="L445" s="181" t="str">
        <x:f>IF($C445="","",IFERROR(IF(INDEX(Catalogo!$H$5:$H$86,MATCH($C445,Catalogo!$A$5:$A$86,0))="","",INDEX(Catalogo!$H$5:$H$86,MATCH($C445,Catalogo!$A$5:$A$86,0))),""))</x:f>
      </x:c>
      <x:c r="M445" s="176" t="str">
        <x:f>IF(OR($B445="",$L445=""),"",IFERROR(IF(INDEX(Obras!$H$5:$H$19,MATCH($B445,Obras!$A$5:$A$19,0))="","",IF(INDEX(Obras!$H$5:$H$19,MATCH($B445,Obras!$A$5:$A$19,0))&gt;$L445,"VENCIDA",IF($L445-INDEX(Obras!$H$5:$H$19,MATCH($B445,Obras!$A$5:$A$19,0))&lt;=0.5,"VENCE EM ATÉ 6 MESES","VIGENTE"))),""))</x:f>
      </x:c>
      <x:c r="N445" s="268"/>
    </x:row>
    <x:row r="446" ht="30" customHeight="1">
      <x:c r="A446" s="176" t="str">
        <x:f>IF(OR($B446="",$C446=""),"","LC-"&amp;TEXT(442,"0000"))</x:f>
      </x:c>
      <x:c r="B446" s="259"/>
      <x:c r="C446" s="259"/>
      <x:c r="D446" s="271" t="str">
        <x:f>IF($B446="","",IFERROR(IF(INDEX(Obras!$G$5:$G$19,MATCH($B446,Obras!$A$5:$A$19,0))="","",INDEX(Obras!$G$5:$G$19,MATCH($B446,Obras!$A$5:$A$19,0))),""))</x:f>
      </x:c>
      <x:c r="E446" s="259"/>
      <x:c r="F446" s="268"/>
      <x:c r="G446" s="259"/>
      <x:c r="H446" s="259"/>
      <x:c r="I446" s="259"/>
      <x:c r="J446" s="181" t="str">
        <x:f t="shared" si="12"/>
      </x:c>
      <x:c r="K446" s="176" t="str">
        <x:f t="shared" si="13"/>
      </x:c>
      <x:c r="L446" s="181" t="str">
        <x:f>IF($C446="","",IFERROR(IF(INDEX(Catalogo!$H$5:$H$86,MATCH($C446,Catalogo!$A$5:$A$86,0))="","",INDEX(Catalogo!$H$5:$H$86,MATCH($C446,Catalogo!$A$5:$A$86,0))),""))</x:f>
      </x:c>
      <x:c r="M446" s="176" t="str">
        <x:f>IF(OR($B446="",$L446=""),"",IFERROR(IF(INDEX(Obras!$H$5:$H$19,MATCH($B446,Obras!$A$5:$A$19,0))="","",IF(INDEX(Obras!$H$5:$H$19,MATCH($B446,Obras!$A$5:$A$19,0))&gt;$L446,"VENCIDA",IF($L446-INDEX(Obras!$H$5:$H$19,MATCH($B446,Obras!$A$5:$A$19,0))&lt;=0.5,"VENCE EM ATÉ 6 MESES","VIGENTE"))),""))</x:f>
      </x:c>
      <x:c r="N446" s="268"/>
    </x:row>
    <x:row r="447" ht="30" customHeight="1">
      <x:c r="A447" s="176" t="str">
        <x:f>IF(OR($B447="",$C447=""),"","LC-"&amp;TEXT(443,"0000"))</x:f>
      </x:c>
      <x:c r="B447" s="259"/>
      <x:c r="C447" s="259"/>
      <x:c r="D447" s="271" t="str">
        <x:f>IF($B447="","",IFERROR(IF(INDEX(Obras!$G$5:$G$19,MATCH($B447,Obras!$A$5:$A$19,0))="","",INDEX(Obras!$G$5:$G$19,MATCH($B447,Obras!$A$5:$A$19,0))),""))</x:f>
      </x:c>
      <x:c r="E447" s="259"/>
      <x:c r="F447" s="268"/>
      <x:c r="G447" s="259"/>
      <x:c r="H447" s="259"/>
      <x:c r="I447" s="259"/>
      <x:c r="J447" s="181" t="str">
        <x:f t="shared" si="12"/>
      </x:c>
      <x:c r="K447" s="176" t="str">
        <x:f t="shared" si="13"/>
      </x:c>
      <x:c r="L447" s="181" t="str">
        <x:f>IF($C447="","",IFERROR(IF(INDEX(Catalogo!$H$5:$H$86,MATCH($C447,Catalogo!$A$5:$A$86,0))="","",INDEX(Catalogo!$H$5:$H$86,MATCH($C447,Catalogo!$A$5:$A$86,0))),""))</x:f>
      </x:c>
      <x:c r="M447" s="176" t="str">
        <x:f>IF(OR($B447="",$L447=""),"",IFERROR(IF(INDEX(Obras!$H$5:$H$19,MATCH($B447,Obras!$A$5:$A$19,0))="","",IF(INDEX(Obras!$H$5:$H$19,MATCH($B447,Obras!$A$5:$A$19,0))&gt;$L447,"VENCIDA",IF($L447-INDEX(Obras!$H$5:$H$19,MATCH($B447,Obras!$A$5:$A$19,0))&lt;=0.5,"VENCE EM ATÉ 6 MESES","VIGENTE"))),""))</x:f>
      </x:c>
      <x:c r="N447" s="268"/>
    </x:row>
    <x:row r="448" ht="30" customHeight="1">
      <x:c r="A448" s="176" t="str">
        <x:f>IF(OR($B448="",$C448=""),"","LC-"&amp;TEXT(444,"0000"))</x:f>
      </x:c>
      <x:c r="B448" s="259"/>
      <x:c r="C448" s="259"/>
      <x:c r="D448" s="271" t="str">
        <x:f>IF($B448="","",IFERROR(IF(INDEX(Obras!$G$5:$G$19,MATCH($B448,Obras!$A$5:$A$19,0))="","",INDEX(Obras!$G$5:$G$19,MATCH($B448,Obras!$A$5:$A$19,0))),""))</x:f>
      </x:c>
      <x:c r="E448" s="259"/>
      <x:c r="F448" s="268"/>
      <x:c r="G448" s="259"/>
      <x:c r="H448" s="259"/>
      <x:c r="I448" s="259"/>
      <x:c r="J448" s="181" t="str">
        <x:f t="shared" si="12"/>
      </x:c>
      <x:c r="K448" s="176" t="str">
        <x:f t="shared" si="13"/>
      </x:c>
      <x:c r="L448" s="181" t="str">
        <x:f>IF($C448="","",IFERROR(IF(INDEX(Catalogo!$H$5:$H$86,MATCH($C448,Catalogo!$A$5:$A$86,0))="","",INDEX(Catalogo!$H$5:$H$86,MATCH($C448,Catalogo!$A$5:$A$86,0))),""))</x:f>
      </x:c>
      <x:c r="M448" s="176" t="str">
        <x:f>IF(OR($B448="",$L448=""),"",IFERROR(IF(INDEX(Obras!$H$5:$H$19,MATCH($B448,Obras!$A$5:$A$19,0))="","",IF(INDEX(Obras!$H$5:$H$19,MATCH($B448,Obras!$A$5:$A$19,0))&gt;$L448,"VENCIDA",IF($L448-INDEX(Obras!$H$5:$H$19,MATCH($B448,Obras!$A$5:$A$19,0))&lt;=0.5,"VENCE EM ATÉ 6 MESES","VIGENTE"))),""))</x:f>
      </x:c>
      <x:c r="N448" s="268"/>
    </x:row>
    <x:row r="449" ht="30" customHeight="1">
      <x:c r="A449" s="176" t="str">
        <x:f>IF(OR($B449="",$C449=""),"","LC-"&amp;TEXT(445,"0000"))</x:f>
      </x:c>
      <x:c r="B449" s="259"/>
      <x:c r="C449" s="259"/>
      <x:c r="D449" s="271" t="str">
        <x:f>IF($B449="","",IFERROR(IF(INDEX(Obras!$G$5:$G$19,MATCH($B449,Obras!$A$5:$A$19,0))="","",INDEX(Obras!$G$5:$G$19,MATCH($B449,Obras!$A$5:$A$19,0))),""))</x:f>
      </x:c>
      <x:c r="E449" s="259"/>
      <x:c r="F449" s="268"/>
      <x:c r="G449" s="259"/>
      <x:c r="H449" s="259"/>
      <x:c r="I449" s="259"/>
      <x:c r="J449" s="181" t="str">
        <x:f t="shared" si="12"/>
      </x:c>
      <x:c r="K449" s="176" t="str">
        <x:f t="shared" si="13"/>
      </x:c>
      <x:c r="L449" s="181" t="str">
        <x:f>IF($C449="","",IFERROR(IF(INDEX(Catalogo!$H$5:$H$86,MATCH($C449,Catalogo!$A$5:$A$86,0))="","",INDEX(Catalogo!$H$5:$H$86,MATCH($C449,Catalogo!$A$5:$A$86,0))),""))</x:f>
      </x:c>
      <x:c r="M449" s="176" t="str">
        <x:f>IF(OR($B449="",$L449=""),"",IFERROR(IF(INDEX(Obras!$H$5:$H$19,MATCH($B449,Obras!$A$5:$A$19,0))="","",IF(INDEX(Obras!$H$5:$H$19,MATCH($B449,Obras!$A$5:$A$19,0))&gt;$L449,"VENCIDA",IF($L449-INDEX(Obras!$H$5:$H$19,MATCH($B449,Obras!$A$5:$A$19,0))&lt;=0.5,"VENCE EM ATÉ 6 MESES","VIGENTE"))),""))</x:f>
      </x:c>
      <x:c r="N449" s="268"/>
    </x:row>
    <x:row r="450" ht="30" customHeight="1">
      <x:c r="A450" s="176" t="str">
        <x:f>IF(OR($B450="",$C450=""),"","LC-"&amp;TEXT(446,"0000"))</x:f>
      </x:c>
      <x:c r="B450" s="259"/>
      <x:c r="C450" s="259"/>
      <x:c r="D450" s="271" t="str">
        <x:f>IF($B450="","",IFERROR(IF(INDEX(Obras!$G$5:$G$19,MATCH($B450,Obras!$A$5:$A$19,0))="","",INDEX(Obras!$G$5:$G$19,MATCH($B450,Obras!$A$5:$A$19,0))),""))</x:f>
      </x:c>
      <x:c r="E450" s="259"/>
      <x:c r="F450" s="268"/>
      <x:c r="G450" s="259"/>
      <x:c r="H450" s="259"/>
      <x:c r="I450" s="259"/>
      <x:c r="J450" s="181" t="str">
        <x:f t="shared" si="12"/>
      </x:c>
      <x:c r="K450" s="176" t="str">
        <x:f t="shared" si="13"/>
      </x:c>
      <x:c r="L450" s="181" t="str">
        <x:f>IF($C450="","",IFERROR(IF(INDEX(Catalogo!$H$5:$H$86,MATCH($C450,Catalogo!$A$5:$A$86,0))="","",INDEX(Catalogo!$H$5:$H$86,MATCH($C450,Catalogo!$A$5:$A$86,0))),""))</x:f>
      </x:c>
      <x:c r="M450" s="176" t="str">
        <x:f>IF(OR($B450="",$L450=""),"",IFERROR(IF(INDEX(Obras!$H$5:$H$19,MATCH($B450,Obras!$A$5:$A$19,0))="","",IF(INDEX(Obras!$H$5:$H$19,MATCH($B450,Obras!$A$5:$A$19,0))&gt;$L450,"VENCIDA",IF($L450-INDEX(Obras!$H$5:$H$19,MATCH($B450,Obras!$A$5:$A$19,0))&lt;=0.5,"VENCE EM ATÉ 6 MESES","VIGENTE"))),""))</x:f>
      </x:c>
      <x:c r="N450" s="268"/>
    </x:row>
    <x:row r="451" ht="30" customHeight="1">
      <x:c r="A451" s="176" t="str">
        <x:f>IF(OR($B451="",$C451=""),"","LC-"&amp;TEXT(447,"0000"))</x:f>
      </x:c>
      <x:c r="B451" s="259"/>
      <x:c r="C451" s="259"/>
      <x:c r="D451" s="271" t="str">
        <x:f>IF($B451="","",IFERROR(IF(INDEX(Obras!$G$5:$G$19,MATCH($B451,Obras!$A$5:$A$19,0))="","",INDEX(Obras!$G$5:$G$19,MATCH($B451,Obras!$A$5:$A$19,0))),""))</x:f>
      </x:c>
      <x:c r="E451" s="259"/>
      <x:c r="F451" s="268"/>
      <x:c r="G451" s="259"/>
      <x:c r="H451" s="259"/>
      <x:c r="I451" s="259"/>
      <x:c r="J451" s="181" t="str">
        <x:f t="shared" si="12"/>
      </x:c>
      <x:c r="K451" s="176" t="str">
        <x:f t="shared" si="13"/>
      </x:c>
      <x:c r="L451" s="181" t="str">
        <x:f>IF($C451="","",IFERROR(IF(INDEX(Catalogo!$H$5:$H$86,MATCH($C451,Catalogo!$A$5:$A$86,0))="","",INDEX(Catalogo!$H$5:$H$86,MATCH($C451,Catalogo!$A$5:$A$86,0))),""))</x:f>
      </x:c>
      <x:c r="M451" s="176" t="str">
        <x:f>IF(OR($B451="",$L451=""),"",IFERROR(IF(INDEX(Obras!$H$5:$H$19,MATCH($B451,Obras!$A$5:$A$19,0))="","",IF(INDEX(Obras!$H$5:$H$19,MATCH($B451,Obras!$A$5:$A$19,0))&gt;$L451,"VENCIDA",IF($L451-INDEX(Obras!$H$5:$H$19,MATCH($B451,Obras!$A$5:$A$19,0))&lt;=0.5,"VENCE EM ATÉ 6 MESES","VIGENTE"))),""))</x:f>
      </x:c>
      <x:c r="N451" s="268"/>
    </x:row>
    <x:row r="452" ht="30" customHeight="1">
      <x:c r="A452" s="176" t="str">
        <x:f>IF(OR($B452="",$C452=""),"","LC-"&amp;TEXT(448,"0000"))</x:f>
      </x:c>
      <x:c r="B452" s="259"/>
      <x:c r="C452" s="259"/>
      <x:c r="D452" s="271" t="str">
        <x:f>IF($B452="","",IFERROR(IF(INDEX(Obras!$G$5:$G$19,MATCH($B452,Obras!$A$5:$A$19,0))="","",INDEX(Obras!$G$5:$G$19,MATCH($B452,Obras!$A$5:$A$19,0))),""))</x:f>
      </x:c>
      <x:c r="E452" s="259"/>
      <x:c r="F452" s="268"/>
      <x:c r="G452" s="259"/>
      <x:c r="H452" s="259"/>
      <x:c r="I452" s="259"/>
      <x:c r="J452" s="181" t="str">
        <x:f t="shared" si="12"/>
      </x:c>
      <x:c r="K452" s="176" t="str">
        <x:f t="shared" si="13"/>
      </x:c>
      <x:c r="L452" s="181" t="str">
        <x:f>IF($C452="","",IFERROR(IF(INDEX(Catalogo!$H$5:$H$86,MATCH($C452,Catalogo!$A$5:$A$86,0))="","",INDEX(Catalogo!$H$5:$H$86,MATCH($C452,Catalogo!$A$5:$A$86,0))),""))</x:f>
      </x:c>
      <x:c r="M452" s="176" t="str">
        <x:f>IF(OR($B452="",$L452=""),"",IFERROR(IF(INDEX(Obras!$H$5:$H$19,MATCH($B452,Obras!$A$5:$A$19,0))="","",IF(INDEX(Obras!$H$5:$H$19,MATCH($B452,Obras!$A$5:$A$19,0))&gt;$L452,"VENCIDA",IF($L452-INDEX(Obras!$H$5:$H$19,MATCH($B452,Obras!$A$5:$A$19,0))&lt;=0.5,"VENCE EM ATÉ 6 MESES","VIGENTE"))),""))</x:f>
      </x:c>
      <x:c r="N452" s="268"/>
    </x:row>
    <x:row r="453" ht="30" customHeight="1">
      <x:c r="A453" s="176" t="str">
        <x:f>IF(OR($B453="",$C453=""),"","LC-"&amp;TEXT(449,"0000"))</x:f>
      </x:c>
      <x:c r="B453" s="259"/>
      <x:c r="C453" s="259"/>
      <x:c r="D453" s="271" t="str">
        <x:f>IF($B453="","",IFERROR(IF(INDEX(Obras!$G$5:$G$19,MATCH($B453,Obras!$A$5:$A$19,0))="","",INDEX(Obras!$G$5:$G$19,MATCH($B453,Obras!$A$5:$A$19,0))),""))</x:f>
      </x:c>
      <x:c r="E453" s="259"/>
      <x:c r="F453" s="268"/>
      <x:c r="G453" s="259"/>
      <x:c r="H453" s="259"/>
      <x:c r="I453" s="259"/>
      <x:c r="J453" s="181" t="str">
        <x:f t="shared" ref="J453:J504" si="14">IF(COUNT($G453:$I453)=3,$G453*$H453*$I453,"")</x:f>
      </x:c>
      <x:c r="K453" s="176" t="str">
        <x:f t="shared" ref="K453:K504" si="15">IF($J453="","",IF($J453&gt;=512,"Prioridade 1",IF($J453&gt;=108,"Prioridade 2","Prioridade 3")))</x:f>
      </x:c>
      <x:c r="L453" s="181" t="str">
        <x:f>IF($C453="","",IFERROR(IF(INDEX(Catalogo!$H$5:$H$86,MATCH($C453,Catalogo!$A$5:$A$86,0))="","",INDEX(Catalogo!$H$5:$H$86,MATCH($C453,Catalogo!$A$5:$A$86,0))),""))</x:f>
      </x:c>
      <x:c r="M453" s="176" t="str">
        <x:f>IF(OR($B453="",$L453=""),"",IFERROR(IF(INDEX(Obras!$H$5:$H$19,MATCH($B453,Obras!$A$5:$A$19,0))="","",IF(INDEX(Obras!$H$5:$H$19,MATCH($B453,Obras!$A$5:$A$19,0))&gt;$L453,"VENCIDA",IF($L453-INDEX(Obras!$H$5:$H$19,MATCH($B453,Obras!$A$5:$A$19,0))&lt;=0.5,"VENCE EM ATÉ 6 MESES","VIGENTE"))),""))</x:f>
      </x:c>
      <x:c r="N453" s="268"/>
    </x:row>
    <x:row r="454" ht="30" customHeight="1">
      <x:c r="A454" s="176" t="str">
        <x:f>IF(OR($B454="",$C454=""),"","LC-"&amp;TEXT(450,"0000"))</x:f>
      </x:c>
      <x:c r="B454" s="259"/>
      <x:c r="C454" s="259"/>
      <x:c r="D454" s="271" t="str">
        <x:f>IF($B454="","",IFERROR(IF(INDEX(Obras!$G$5:$G$19,MATCH($B454,Obras!$A$5:$A$19,0))="","",INDEX(Obras!$G$5:$G$19,MATCH($B454,Obras!$A$5:$A$19,0))),""))</x:f>
      </x:c>
      <x:c r="E454" s="259"/>
      <x:c r="F454" s="268"/>
      <x:c r="G454" s="259"/>
      <x:c r="H454" s="259"/>
      <x:c r="I454" s="259"/>
      <x:c r="J454" s="181" t="str">
        <x:f t="shared" si="14"/>
      </x:c>
      <x:c r="K454" s="176" t="str">
        <x:f t="shared" si="15"/>
      </x:c>
      <x:c r="L454" s="181" t="str">
        <x:f>IF($C454="","",IFERROR(IF(INDEX(Catalogo!$H$5:$H$86,MATCH($C454,Catalogo!$A$5:$A$86,0))="","",INDEX(Catalogo!$H$5:$H$86,MATCH($C454,Catalogo!$A$5:$A$86,0))),""))</x:f>
      </x:c>
      <x:c r="M454" s="176" t="str">
        <x:f>IF(OR($B454="",$L454=""),"",IFERROR(IF(INDEX(Obras!$H$5:$H$19,MATCH($B454,Obras!$A$5:$A$19,0))="","",IF(INDEX(Obras!$H$5:$H$19,MATCH($B454,Obras!$A$5:$A$19,0))&gt;$L454,"VENCIDA",IF($L454-INDEX(Obras!$H$5:$H$19,MATCH($B454,Obras!$A$5:$A$19,0))&lt;=0.5,"VENCE EM ATÉ 6 MESES","VIGENTE"))),""))</x:f>
      </x:c>
      <x:c r="N454" s="268"/>
    </x:row>
    <x:row r="455" ht="30" customHeight="1">
      <x:c r="A455" s="176" t="str">
        <x:f>IF(OR($B455="",$C455=""),"","LC-"&amp;TEXT(451,"0000"))</x:f>
      </x:c>
      <x:c r="B455" s="259"/>
      <x:c r="C455" s="259"/>
      <x:c r="D455" s="271" t="str">
        <x:f>IF($B455="","",IFERROR(IF(INDEX(Obras!$G$5:$G$19,MATCH($B455,Obras!$A$5:$A$19,0))="","",INDEX(Obras!$G$5:$G$19,MATCH($B455,Obras!$A$5:$A$19,0))),""))</x:f>
      </x:c>
      <x:c r="E455" s="259"/>
      <x:c r="F455" s="268"/>
      <x:c r="G455" s="259"/>
      <x:c r="H455" s="259"/>
      <x:c r="I455" s="259"/>
      <x:c r="J455" s="181" t="str">
        <x:f t="shared" si="14"/>
      </x:c>
      <x:c r="K455" s="176" t="str">
        <x:f t="shared" si="15"/>
      </x:c>
      <x:c r="L455" s="181" t="str">
        <x:f>IF($C455="","",IFERROR(IF(INDEX(Catalogo!$H$5:$H$86,MATCH($C455,Catalogo!$A$5:$A$86,0))="","",INDEX(Catalogo!$H$5:$H$86,MATCH($C455,Catalogo!$A$5:$A$86,0))),""))</x:f>
      </x:c>
      <x:c r="M455" s="176" t="str">
        <x:f>IF(OR($B455="",$L455=""),"",IFERROR(IF(INDEX(Obras!$H$5:$H$19,MATCH($B455,Obras!$A$5:$A$19,0))="","",IF(INDEX(Obras!$H$5:$H$19,MATCH($B455,Obras!$A$5:$A$19,0))&gt;$L455,"VENCIDA",IF($L455-INDEX(Obras!$H$5:$H$19,MATCH($B455,Obras!$A$5:$A$19,0))&lt;=0.5,"VENCE EM ATÉ 6 MESES","VIGENTE"))),""))</x:f>
      </x:c>
      <x:c r="N455" s="268"/>
    </x:row>
    <x:row r="456" ht="30" customHeight="1">
      <x:c r="A456" s="176" t="str">
        <x:f>IF(OR($B456="",$C456=""),"","LC-"&amp;TEXT(452,"0000"))</x:f>
      </x:c>
      <x:c r="B456" s="259"/>
      <x:c r="C456" s="259"/>
      <x:c r="D456" s="271" t="str">
        <x:f>IF($B456="","",IFERROR(IF(INDEX(Obras!$G$5:$G$19,MATCH($B456,Obras!$A$5:$A$19,0))="","",INDEX(Obras!$G$5:$G$19,MATCH($B456,Obras!$A$5:$A$19,0))),""))</x:f>
      </x:c>
      <x:c r="E456" s="259"/>
      <x:c r="F456" s="268"/>
      <x:c r="G456" s="259"/>
      <x:c r="H456" s="259"/>
      <x:c r="I456" s="259"/>
      <x:c r="J456" s="181" t="str">
        <x:f t="shared" si="14"/>
      </x:c>
      <x:c r="K456" s="176" t="str">
        <x:f t="shared" si="15"/>
      </x:c>
      <x:c r="L456" s="181" t="str">
        <x:f>IF($C456="","",IFERROR(IF(INDEX(Catalogo!$H$5:$H$86,MATCH($C456,Catalogo!$A$5:$A$86,0))="","",INDEX(Catalogo!$H$5:$H$86,MATCH($C456,Catalogo!$A$5:$A$86,0))),""))</x:f>
      </x:c>
      <x:c r="M456" s="176" t="str">
        <x:f>IF(OR($B456="",$L456=""),"",IFERROR(IF(INDEX(Obras!$H$5:$H$19,MATCH($B456,Obras!$A$5:$A$19,0))="","",IF(INDEX(Obras!$H$5:$H$19,MATCH($B456,Obras!$A$5:$A$19,0))&gt;$L456,"VENCIDA",IF($L456-INDEX(Obras!$H$5:$H$19,MATCH($B456,Obras!$A$5:$A$19,0))&lt;=0.5,"VENCE EM ATÉ 6 MESES","VIGENTE"))),""))</x:f>
      </x:c>
      <x:c r="N456" s="268"/>
    </x:row>
    <x:row r="457" ht="30" customHeight="1">
      <x:c r="A457" s="176" t="str">
        <x:f>IF(OR($B457="",$C457=""),"","LC-"&amp;TEXT(453,"0000"))</x:f>
      </x:c>
      <x:c r="B457" s="259"/>
      <x:c r="C457" s="259"/>
      <x:c r="D457" s="271" t="str">
        <x:f>IF($B457="","",IFERROR(IF(INDEX(Obras!$G$5:$G$19,MATCH($B457,Obras!$A$5:$A$19,0))="","",INDEX(Obras!$G$5:$G$19,MATCH($B457,Obras!$A$5:$A$19,0))),""))</x:f>
      </x:c>
      <x:c r="E457" s="259"/>
      <x:c r="F457" s="268"/>
      <x:c r="G457" s="259"/>
      <x:c r="H457" s="259"/>
      <x:c r="I457" s="259"/>
      <x:c r="J457" s="181" t="str">
        <x:f t="shared" si="14"/>
      </x:c>
      <x:c r="K457" s="176" t="str">
        <x:f t="shared" si="15"/>
      </x:c>
      <x:c r="L457" s="181" t="str">
        <x:f>IF($C457="","",IFERROR(IF(INDEX(Catalogo!$H$5:$H$86,MATCH($C457,Catalogo!$A$5:$A$86,0))="","",INDEX(Catalogo!$H$5:$H$86,MATCH($C457,Catalogo!$A$5:$A$86,0))),""))</x:f>
      </x:c>
      <x:c r="M457" s="176" t="str">
        <x:f>IF(OR($B457="",$L457=""),"",IFERROR(IF(INDEX(Obras!$H$5:$H$19,MATCH($B457,Obras!$A$5:$A$19,0))="","",IF(INDEX(Obras!$H$5:$H$19,MATCH($B457,Obras!$A$5:$A$19,0))&gt;$L457,"VENCIDA",IF($L457-INDEX(Obras!$H$5:$H$19,MATCH($B457,Obras!$A$5:$A$19,0))&lt;=0.5,"VENCE EM ATÉ 6 MESES","VIGENTE"))),""))</x:f>
      </x:c>
      <x:c r="N457" s="268"/>
    </x:row>
    <x:row r="458" ht="30" customHeight="1">
      <x:c r="A458" s="176" t="str">
        <x:f>IF(OR($B458="",$C458=""),"","LC-"&amp;TEXT(454,"0000"))</x:f>
      </x:c>
      <x:c r="B458" s="259"/>
      <x:c r="C458" s="259"/>
      <x:c r="D458" s="271" t="str">
        <x:f>IF($B458="","",IFERROR(IF(INDEX(Obras!$G$5:$G$19,MATCH($B458,Obras!$A$5:$A$19,0))="","",INDEX(Obras!$G$5:$G$19,MATCH($B458,Obras!$A$5:$A$19,0))),""))</x:f>
      </x:c>
      <x:c r="E458" s="259"/>
      <x:c r="F458" s="268"/>
      <x:c r="G458" s="259"/>
      <x:c r="H458" s="259"/>
      <x:c r="I458" s="259"/>
      <x:c r="J458" s="181" t="str">
        <x:f t="shared" si="14"/>
      </x:c>
      <x:c r="K458" s="176" t="str">
        <x:f t="shared" si="15"/>
      </x:c>
      <x:c r="L458" s="181" t="str">
        <x:f>IF($C458="","",IFERROR(IF(INDEX(Catalogo!$H$5:$H$86,MATCH($C458,Catalogo!$A$5:$A$86,0))="","",INDEX(Catalogo!$H$5:$H$86,MATCH($C458,Catalogo!$A$5:$A$86,0))),""))</x:f>
      </x:c>
      <x:c r="M458" s="176" t="str">
        <x:f>IF(OR($B458="",$L458=""),"",IFERROR(IF(INDEX(Obras!$H$5:$H$19,MATCH($B458,Obras!$A$5:$A$19,0))="","",IF(INDEX(Obras!$H$5:$H$19,MATCH($B458,Obras!$A$5:$A$19,0))&gt;$L458,"VENCIDA",IF($L458-INDEX(Obras!$H$5:$H$19,MATCH($B458,Obras!$A$5:$A$19,0))&lt;=0.5,"VENCE EM ATÉ 6 MESES","VIGENTE"))),""))</x:f>
      </x:c>
      <x:c r="N458" s="268"/>
    </x:row>
    <x:row r="459" ht="30" customHeight="1">
      <x:c r="A459" s="176" t="str">
        <x:f>IF(OR($B459="",$C459=""),"","LC-"&amp;TEXT(455,"0000"))</x:f>
      </x:c>
      <x:c r="B459" s="259"/>
      <x:c r="C459" s="259"/>
      <x:c r="D459" s="271" t="str">
        <x:f>IF($B459="","",IFERROR(IF(INDEX(Obras!$G$5:$G$19,MATCH($B459,Obras!$A$5:$A$19,0))="","",INDEX(Obras!$G$5:$G$19,MATCH($B459,Obras!$A$5:$A$19,0))),""))</x:f>
      </x:c>
      <x:c r="E459" s="259"/>
      <x:c r="F459" s="268"/>
      <x:c r="G459" s="259"/>
      <x:c r="H459" s="259"/>
      <x:c r="I459" s="259"/>
      <x:c r="J459" s="181" t="str">
        <x:f t="shared" si="14"/>
      </x:c>
      <x:c r="K459" s="176" t="str">
        <x:f t="shared" si="15"/>
      </x:c>
      <x:c r="L459" s="181" t="str">
        <x:f>IF($C459="","",IFERROR(IF(INDEX(Catalogo!$H$5:$H$86,MATCH($C459,Catalogo!$A$5:$A$86,0))="","",INDEX(Catalogo!$H$5:$H$86,MATCH($C459,Catalogo!$A$5:$A$86,0))),""))</x:f>
      </x:c>
      <x:c r="M459" s="176" t="str">
        <x:f>IF(OR($B459="",$L459=""),"",IFERROR(IF(INDEX(Obras!$H$5:$H$19,MATCH($B459,Obras!$A$5:$A$19,0))="","",IF(INDEX(Obras!$H$5:$H$19,MATCH($B459,Obras!$A$5:$A$19,0))&gt;$L459,"VENCIDA",IF($L459-INDEX(Obras!$H$5:$H$19,MATCH($B459,Obras!$A$5:$A$19,0))&lt;=0.5,"VENCE EM ATÉ 6 MESES","VIGENTE"))),""))</x:f>
      </x:c>
      <x:c r="N459" s="268"/>
    </x:row>
    <x:row r="460" ht="30" customHeight="1">
      <x:c r="A460" s="176" t="str">
        <x:f>IF(OR($B460="",$C460=""),"","LC-"&amp;TEXT(456,"0000"))</x:f>
      </x:c>
      <x:c r="B460" s="259"/>
      <x:c r="C460" s="259"/>
      <x:c r="D460" s="271" t="str">
        <x:f>IF($B460="","",IFERROR(IF(INDEX(Obras!$G$5:$G$19,MATCH($B460,Obras!$A$5:$A$19,0))="","",INDEX(Obras!$G$5:$G$19,MATCH($B460,Obras!$A$5:$A$19,0))),""))</x:f>
      </x:c>
      <x:c r="E460" s="259"/>
      <x:c r="F460" s="268"/>
      <x:c r="G460" s="259"/>
      <x:c r="H460" s="259"/>
      <x:c r="I460" s="259"/>
      <x:c r="J460" s="181" t="str">
        <x:f t="shared" si="14"/>
      </x:c>
      <x:c r="K460" s="176" t="str">
        <x:f t="shared" si="15"/>
      </x:c>
      <x:c r="L460" s="181" t="str">
        <x:f>IF($C460="","",IFERROR(IF(INDEX(Catalogo!$H$5:$H$86,MATCH($C460,Catalogo!$A$5:$A$86,0))="","",INDEX(Catalogo!$H$5:$H$86,MATCH($C460,Catalogo!$A$5:$A$86,0))),""))</x:f>
      </x:c>
      <x:c r="M460" s="176" t="str">
        <x:f>IF(OR($B460="",$L460=""),"",IFERROR(IF(INDEX(Obras!$H$5:$H$19,MATCH($B460,Obras!$A$5:$A$19,0))="","",IF(INDEX(Obras!$H$5:$H$19,MATCH($B460,Obras!$A$5:$A$19,0))&gt;$L460,"VENCIDA",IF($L460-INDEX(Obras!$H$5:$H$19,MATCH($B460,Obras!$A$5:$A$19,0))&lt;=0.5,"VENCE EM ATÉ 6 MESES","VIGENTE"))),""))</x:f>
      </x:c>
      <x:c r="N460" s="268"/>
    </x:row>
    <x:row r="461" ht="30" customHeight="1">
      <x:c r="A461" s="176" t="str">
        <x:f>IF(OR($B461="",$C461=""),"","LC-"&amp;TEXT(457,"0000"))</x:f>
      </x:c>
      <x:c r="B461" s="259"/>
      <x:c r="C461" s="259"/>
      <x:c r="D461" s="271" t="str">
        <x:f>IF($B461="","",IFERROR(IF(INDEX(Obras!$G$5:$G$19,MATCH($B461,Obras!$A$5:$A$19,0))="","",INDEX(Obras!$G$5:$G$19,MATCH($B461,Obras!$A$5:$A$19,0))),""))</x:f>
      </x:c>
      <x:c r="E461" s="259"/>
      <x:c r="F461" s="268"/>
      <x:c r="G461" s="259"/>
      <x:c r="H461" s="259"/>
      <x:c r="I461" s="259"/>
      <x:c r="J461" s="181" t="str">
        <x:f t="shared" si="14"/>
      </x:c>
      <x:c r="K461" s="176" t="str">
        <x:f t="shared" si="15"/>
      </x:c>
      <x:c r="L461" s="181" t="str">
        <x:f>IF($C461="","",IFERROR(IF(INDEX(Catalogo!$H$5:$H$86,MATCH($C461,Catalogo!$A$5:$A$86,0))="","",INDEX(Catalogo!$H$5:$H$86,MATCH($C461,Catalogo!$A$5:$A$86,0))),""))</x:f>
      </x:c>
      <x:c r="M461" s="176" t="str">
        <x:f>IF(OR($B461="",$L461=""),"",IFERROR(IF(INDEX(Obras!$H$5:$H$19,MATCH($B461,Obras!$A$5:$A$19,0))="","",IF(INDEX(Obras!$H$5:$H$19,MATCH($B461,Obras!$A$5:$A$19,0))&gt;$L461,"VENCIDA",IF($L461-INDEX(Obras!$H$5:$H$19,MATCH($B461,Obras!$A$5:$A$19,0))&lt;=0.5,"VENCE EM ATÉ 6 MESES","VIGENTE"))),""))</x:f>
      </x:c>
      <x:c r="N461" s="268"/>
    </x:row>
    <x:row r="462" ht="30" customHeight="1">
      <x:c r="A462" s="176" t="str">
        <x:f>IF(OR($B462="",$C462=""),"","LC-"&amp;TEXT(458,"0000"))</x:f>
      </x:c>
      <x:c r="B462" s="259"/>
      <x:c r="C462" s="259"/>
      <x:c r="D462" s="271" t="str">
        <x:f>IF($B462="","",IFERROR(IF(INDEX(Obras!$G$5:$G$19,MATCH($B462,Obras!$A$5:$A$19,0))="","",INDEX(Obras!$G$5:$G$19,MATCH($B462,Obras!$A$5:$A$19,0))),""))</x:f>
      </x:c>
      <x:c r="E462" s="259"/>
      <x:c r="F462" s="268"/>
      <x:c r="G462" s="259"/>
      <x:c r="H462" s="259"/>
      <x:c r="I462" s="259"/>
      <x:c r="J462" s="181" t="str">
        <x:f t="shared" si="14"/>
      </x:c>
      <x:c r="K462" s="176" t="str">
        <x:f t="shared" si="15"/>
      </x:c>
      <x:c r="L462" s="181" t="str">
        <x:f>IF($C462="","",IFERROR(IF(INDEX(Catalogo!$H$5:$H$86,MATCH($C462,Catalogo!$A$5:$A$86,0))="","",INDEX(Catalogo!$H$5:$H$86,MATCH($C462,Catalogo!$A$5:$A$86,0))),""))</x:f>
      </x:c>
      <x:c r="M462" s="176" t="str">
        <x:f>IF(OR($B462="",$L462=""),"",IFERROR(IF(INDEX(Obras!$H$5:$H$19,MATCH($B462,Obras!$A$5:$A$19,0))="","",IF(INDEX(Obras!$H$5:$H$19,MATCH($B462,Obras!$A$5:$A$19,0))&gt;$L462,"VENCIDA",IF($L462-INDEX(Obras!$H$5:$H$19,MATCH($B462,Obras!$A$5:$A$19,0))&lt;=0.5,"VENCE EM ATÉ 6 MESES","VIGENTE"))),""))</x:f>
      </x:c>
      <x:c r="N462" s="268"/>
    </x:row>
    <x:row r="463" ht="30" customHeight="1">
      <x:c r="A463" s="176" t="str">
        <x:f>IF(OR($B463="",$C463=""),"","LC-"&amp;TEXT(459,"0000"))</x:f>
      </x:c>
      <x:c r="B463" s="259"/>
      <x:c r="C463" s="259"/>
      <x:c r="D463" s="271" t="str">
        <x:f>IF($B463="","",IFERROR(IF(INDEX(Obras!$G$5:$G$19,MATCH($B463,Obras!$A$5:$A$19,0))="","",INDEX(Obras!$G$5:$G$19,MATCH($B463,Obras!$A$5:$A$19,0))),""))</x:f>
      </x:c>
      <x:c r="E463" s="259"/>
      <x:c r="F463" s="268"/>
      <x:c r="G463" s="259"/>
      <x:c r="H463" s="259"/>
      <x:c r="I463" s="259"/>
      <x:c r="J463" s="181" t="str">
        <x:f t="shared" si="14"/>
      </x:c>
      <x:c r="K463" s="176" t="str">
        <x:f t="shared" si="15"/>
      </x:c>
      <x:c r="L463" s="181" t="str">
        <x:f>IF($C463="","",IFERROR(IF(INDEX(Catalogo!$H$5:$H$86,MATCH($C463,Catalogo!$A$5:$A$86,0))="","",INDEX(Catalogo!$H$5:$H$86,MATCH($C463,Catalogo!$A$5:$A$86,0))),""))</x:f>
      </x:c>
      <x:c r="M463" s="176" t="str">
        <x:f>IF(OR($B463="",$L463=""),"",IFERROR(IF(INDEX(Obras!$H$5:$H$19,MATCH($B463,Obras!$A$5:$A$19,0))="","",IF(INDEX(Obras!$H$5:$H$19,MATCH($B463,Obras!$A$5:$A$19,0))&gt;$L463,"VENCIDA",IF($L463-INDEX(Obras!$H$5:$H$19,MATCH($B463,Obras!$A$5:$A$19,0))&lt;=0.5,"VENCE EM ATÉ 6 MESES","VIGENTE"))),""))</x:f>
      </x:c>
      <x:c r="N463" s="268"/>
    </x:row>
    <x:row r="464" ht="30" customHeight="1">
      <x:c r="A464" s="176" t="str">
        <x:f>IF(OR($B464="",$C464=""),"","LC-"&amp;TEXT(460,"0000"))</x:f>
      </x:c>
      <x:c r="B464" s="259"/>
      <x:c r="C464" s="259"/>
      <x:c r="D464" s="271" t="str">
        <x:f>IF($B464="","",IFERROR(IF(INDEX(Obras!$G$5:$G$19,MATCH($B464,Obras!$A$5:$A$19,0))="","",INDEX(Obras!$G$5:$G$19,MATCH($B464,Obras!$A$5:$A$19,0))),""))</x:f>
      </x:c>
      <x:c r="E464" s="259"/>
      <x:c r="F464" s="268"/>
      <x:c r="G464" s="259"/>
      <x:c r="H464" s="259"/>
      <x:c r="I464" s="259"/>
      <x:c r="J464" s="181" t="str">
        <x:f t="shared" si="14"/>
      </x:c>
      <x:c r="K464" s="176" t="str">
        <x:f t="shared" si="15"/>
      </x:c>
      <x:c r="L464" s="181" t="str">
        <x:f>IF($C464="","",IFERROR(IF(INDEX(Catalogo!$H$5:$H$86,MATCH($C464,Catalogo!$A$5:$A$86,0))="","",INDEX(Catalogo!$H$5:$H$86,MATCH($C464,Catalogo!$A$5:$A$86,0))),""))</x:f>
      </x:c>
      <x:c r="M464" s="176" t="str">
        <x:f>IF(OR($B464="",$L464=""),"",IFERROR(IF(INDEX(Obras!$H$5:$H$19,MATCH($B464,Obras!$A$5:$A$19,0))="","",IF(INDEX(Obras!$H$5:$H$19,MATCH($B464,Obras!$A$5:$A$19,0))&gt;$L464,"VENCIDA",IF($L464-INDEX(Obras!$H$5:$H$19,MATCH($B464,Obras!$A$5:$A$19,0))&lt;=0.5,"VENCE EM ATÉ 6 MESES","VIGENTE"))),""))</x:f>
      </x:c>
      <x:c r="N464" s="268"/>
    </x:row>
    <x:row r="465" ht="30" customHeight="1">
      <x:c r="A465" s="176" t="str">
        <x:f>IF(OR($B465="",$C465=""),"","LC-"&amp;TEXT(461,"0000"))</x:f>
      </x:c>
      <x:c r="B465" s="259"/>
      <x:c r="C465" s="259"/>
      <x:c r="D465" s="271" t="str">
        <x:f>IF($B465="","",IFERROR(IF(INDEX(Obras!$G$5:$G$19,MATCH($B465,Obras!$A$5:$A$19,0))="","",INDEX(Obras!$G$5:$G$19,MATCH($B465,Obras!$A$5:$A$19,0))),""))</x:f>
      </x:c>
      <x:c r="E465" s="259"/>
      <x:c r="F465" s="268"/>
      <x:c r="G465" s="259"/>
      <x:c r="H465" s="259"/>
      <x:c r="I465" s="259"/>
      <x:c r="J465" s="181" t="str">
        <x:f t="shared" si="14"/>
      </x:c>
      <x:c r="K465" s="176" t="str">
        <x:f t="shared" si="15"/>
      </x:c>
      <x:c r="L465" s="181" t="str">
        <x:f>IF($C465="","",IFERROR(IF(INDEX(Catalogo!$H$5:$H$86,MATCH($C465,Catalogo!$A$5:$A$86,0))="","",INDEX(Catalogo!$H$5:$H$86,MATCH($C465,Catalogo!$A$5:$A$86,0))),""))</x:f>
      </x:c>
      <x:c r="M465" s="176" t="str">
        <x:f>IF(OR($B465="",$L465=""),"",IFERROR(IF(INDEX(Obras!$H$5:$H$19,MATCH($B465,Obras!$A$5:$A$19,0))="","",IF(INDEX(Obras!$H$5:$H$19,MATCH($B465,Obras!$A$5:$A$19,0))&gt;$L465,"VENCIDA",IF($L465-INDEX(Obras!$H$5:$H$19,MATCH($B465,Obras!$A$5:$A$19,0))&lt;=0.5,"VENCE EM ATÉ 6 MESES","VIGENTE"))),""))</x:f>
      </x:c>
      <x:c r="N465" s="268"/>
    </x:row>
    <x:row r="466" ht="30" customHeight="1">
      <x:c r="A466" s="176" t="str">
        <x:f>IF(OR($B466="",$C466=""),"","LC-"&amp;TEXT(462,"0000"))</x:f>
      </x:c>
      <x:c r="B466" s="259"/>
      <x:c r="C466" s="259"/>
      <x:c r="D466" s="271" t="str">
        <x:f>IF($B466="","",IFERROR(IF(INDEX(Obras!$G$5:$G$19,MATCH($B466,Obras!$A$5:$A$19,0))="","",INDEX(Obras!$G$5:$G$19,MATCH($B466,Obras!$A$5:$A$19,0))),""))</x:f>
      </x:c>
      <x:c r="E466" s="259"/>
      <x:c r="F466" s="268"/>
      <x:c r="G466" s="259"/>
      <x:c r="H466" s="259"/>
      <x:c r="I466" s="259"/>
      <x:c r="J466" s="181" t="str">
        <x:f t="shared" si="14"/>
      </x:c>
      <x:c r="K466" s="176" t="str">
        <x:f t="shared" si="15"/>
      </x:c>
      <x:c r="L466" s="181" t="str">
        <x:f>IF($C466="","",IFERROR(IF(INDEX(Catalogo!$H$5:$H$86,MATCH($C466,Catalogo!$A$5:$A$86,0))="","",INDEX(Catalogo!$H$5:$H$86,MATCH($C466,Catalogo!$A$5:$A$86,0))),""))</x:f>
      </x:c>
      <x:c r="M466" s="176" t="str">
        <x:f>IF(OR($B466="",$L466=""),"",IFERROR(IF(INDEX(Obras!$H$5:$H$19,MATCH($B466,Obras!$A$5:$A$19,0))="","",IF(INDEX(Obras!$H$5:$H$19,MATCH($B466,Obras!$A$5:$A$19,0))&gt;$L466,"VENCIDA",IF($L466-INDEX(Obras!$H$5:$H$19,MATCH($B466,Obras!$A$5:$A$19,0))&lt;=0.5,"VENCE EM ATÉ 6 MESES","VIGENTE"))),""))</x:f>
      </x:c>
      <x:c r="N466" s="268"/>
    </x:row>
    <x:row r="467" ht="30" customHeight="1">
      <x:c r="A467" s="176" t="str">
        <x:f>IF(OR($B467="",$C467=""),"","LC-"&amp;TEXT(463,"0000"))</x:f>
      </x:c>
      <x:c r="B467" s="259"/>
      <x:c r="C467" s="259"/>
      <x:c r="D467" s="271" t="str">
        <x:f>IF($B467="","",IFERROR(IF(INDEX(Obras!$G$5:$G$19,MATCH($B467,Obras!$A$5:$A$19,0))="","",INDEX(Obras!$G$5:$G$19,MATCH($B467,Obras!$A$5:$A$19,0))),""))</x:f>
      </x:c>
      <x:c r="E467" s="259"/>
      <x:c r="F467" s="268"/>
      <x:c r="G467" s="259"/>
      <x:c r="H467" s="259"/>
      <x:c r="I467" s="259"/>
      <x:c r="J467" s="181" t="str">
        <x:f t="shared" si="14"/>
      </x:c>
      <x:c r="K467" s="176" t="str">
        <x:f t="shared" si="15"/>
      </x:c>
      <x:c r="L467" s="181" t="str">
        <x:f>IF($C467="","",IFERROR(IF(INDEX(Catalogo!$H$5:$H$86,MATCH($C467,Catalogo!$A$5:$A$86,0))="","",INDEX(Catalogo!$H$5:$H$86,MATCH($C467,Catalogo!$A$5:$A$86,0))),""))</x:f>
      </x:c>
      <x:c r="M467" s="176" t="str">
        <x:f>IF(OR($B467="",$L467=""),"",IFERROR(IF(INDEX(Obras!$H$5:$H$19,MATCH($B467,Obras!$A$5:$A$19,0))="","",IF(INDEX(Obras!$H$5:$H$19,MATCH($B467,Obras!$A$5:$A$19,0))&gt;$L467,"VENCIDA",IF($L467-INDEX(Obras!$H$5:$H$19,MATCH($B467,Obras!$A$5:$A$19,0))&lt;=0.5,"VENCE EM ATÉ 6 MESES","VIGENTE"))),""))</x:f>
      </x:c>
      <x:c r="N467" s="268"/>
    </x:row>
    <x:row r="468" ht="30" customHeight="1">
      <x:c r="A468" s="176" t="str">
        <x:f>IF(OR($B468="",$C468=""),"","LC-"&amp;TEXT(464,"0000"))</x:f>
      </x:c>
      <x:c r="B468" s="259"/>
      <x:c r="C468" s="259"/>
      <x:c r="D468" s="271" t="str">
        <x:f>IF($B468="","",IFERROR(IF(INDEX(Obras!$G$5:$G$19,MATCH($B468,Obras!$A$5:$A$19,0))="","",INDEX(Obras!$G$5:$G$19,MATCH($B468,Obras!$A$5:$A$19,0))),""))</x:f>
      </x:c>
      <x:c r="E468" s="259"/>
      <x:c r="F468" s="268"/>
      <x:c r="G468" s="259"/>
      <x:c r="H468" s="259"/>
      <x:c r="I468" s="259"/>
      <x:c r="J468" s="181" t="str">
        <x:f t="shared" si="14"/>
      </x:c>
      <x:c r="K468" s="176" t="str">
        <x:f t="shared" si="15"/>
      </x:c>
      <x:c r="L468" s="181" t="str">
        <x:f>IF($C468="","",IFERROR(IF(INDEX(Catalogo!$H$5:$H$86,MATCH($C468,Catalogo!$A$5:$A$86,0))="","",INDEX(Catalogo!$H$5:$H$86,MATCH($C468,Catalogo!$A$5:$A$86,0))),""))</x:f>
      </x:c>
      <x:c r="M468" s="176" t="str">
        <x:f>IF(OR($B468="",$L468=""),"",IFERROR(IF(INDEX(Obras!$H$5:$H$19,MATCH($B468,Obras!$A$5:$A$19,0))="","",IF(INDEX(Obras!$H$5:$H$19,MATCH($B468,Obras!$A$5:$A$19,0))&gt;$L468,"VENCIDA",IF($L468-INDEX(Obras!$H$5:$H$19,MATCH($B468,Obras!$A$5:$A$19,0))&lt;=0.5,"VENCE EM ATÉ 6 MESES","VIGENTE"))),""))</x:f>
      </x:c>
      <x:c r="N468" s="268"/>
    </x:row>
    <x:row r="469" ht="30" customHeight="1">
      <x:c r="A469" s="176" t="str">
        <x:f>IF(OR($B469="",$C469=""),"","LC-"&amp;TEXT(465,"0000"))</x:f>
      </x:c>
      <x:c r="B469" s="259"/>
      <x:c r="C469" s="259"/>
      <x:c r="D469" s="271" t="str">
        <x:f>IF($B469="","",IFERROR(IF(INDEX(Obras!$G$5:$G$19,MATCH($B469,Obras!$A$5:$A$19,0))="","",INDEX(Obras!$G$5:$G$19,MATCH($B469,Obras!$A$5:$A$19,0))),""))</x:f>
      </x:c>
      <x:c r="E469" s="259"/>
      <x:c r="F469" s="268"/>
      <x:c r="G469" s="259"/>
      <x:c r="H469" s="259"/>
      <x:c r="I469" s="259"/>
      <x:c r="J469" s="181" t="str">
        <x:f t="shared" si="14"/>
      </x:c>
      <x:c r="K469" s="176" t="str">
        <x:f t="shared" si="15"/>
      </x:c>
      <x:c r="L469" s="181" t="str">
        <x:f>IF($C469="","",IFERROR(IF(INDEX(Catalogo!$H$5:$H$86,MATCH($C469,Catalogo!$A$5:$A$86,0))="","",INDEX(Catalogo!$H$5:$H$86,MATCH($C469,Catalogo!$A$5:$A$86,0))),""))</x:f>
      </x:c>
      <x:c r="M469" s="176" t="str">
        <x:f>IF(OR($B469="",$L469=""),"",IFERROR(IF(INDEX(Obras!$H$5:$H$19,MATCH($B469,Obras!$A$5:$A$19,0))="","",IF(INDEX(Obras!$H$5:$H$19,MATCH($B469,Obras!$A$5:$A$19,0))&gt;$L469,"VENCIDA",IF($L469-INDEX(Obras!$H$5:$H$19,MATCH($B469,Obras!$A$5:$A$19,0))&lt;=0.5,"VENCE EM ATÉ 6 MESES","VIGENTE"))),""))</x:f>
      </x:c>
      <x:c r="N469" s="268"/>
    </x:row>
    <x:row r="470" ht="30" customHeight="1">
      <x:c r="A470" s="176" t="str">
        <x:f>IF(OR($B470="",$C470=""),"","LC-"&amp;TEXT(466,"0000"))</x:f>
      </x:c>
      <x:c r="B470" s="259"/>
      <x:c r="C470" s="259"/>
      <x:c r="D470" s="271" t="str">
        <x:f>IF($B470="","",IFERROR(IF(INDEX(Obras!$G$5:$G$19,MATCH($B470,Obras!$A$5:$A$19,0))="","",INDEX(Obras!$G$5:$G$19,MATCH($B470,Obras!$A$5:$A$19,0))),""))</x:f>
      </x:c>
      <x:c r="E470" s="259"/>
      <x:c r="F470" s="268"/>
      <x:c r="G470" s="259"/>
      <x:c r="H470" s="259"/>
      <x:c r="I470" s="259"/>
      <x:c r="J470" s="181" t="str">
        <x:f t="shared" si="14"/>
      </x:c>
      <x:c r="K470" s="176" t="str">
        <x:f t="shared" si="15"/>
      </x:c>
      <x:c r="L470" s="181" t="str">
        <x:f>IF($C470="","",IFERROR(IF(INDEX(Catalogo!$H$5:$H$86,MATCH($C470,Catalogo!$A$5:$A$86,0))="","",INDEX(Catalogo!$H$5:$H$86,MATCH($C470,Catalogo!$A$5:$A$86,0))),""))</x:f>
      </x:c>
      <x:c r="M470" s="176" t="str">
        <x:f>IF(OR($B470="",$L470=""),"",IFERROR(IF(INDEX(Obras!$H$5:$H$19,MATCH($B470,Obras!$A$5:$A$19,0))="","",IF(INDEX(Obras!$H$5:$H$19,MATCH($B470,Obras!$A$5:$A$19,0))&gt;$L470,"VENCIDA",IF($L470-INDEX(Obras!$H$5:$H$19,MATCH($B470,Obras!$A$5:$A$19,0))&lt;=0.5,"VENCE EM ATÉ 6 MESES","VIGENTE"))),""))</x:f>
      </x:c>
      <x:c r="N470" s="268"/>
    </x:row>
    <x:row r="471" ht="30" customHeight="1">
      <x:c r="A471" s="176" t="str">
        <x:f>IF(OR($B471="",$C471=""),"","LC-"&amp;TEXT(467,"0000"))</x:f>
      </x:c>
      <x:c r="B471" s="259"/>
      <x:c r="C471" s="259"/>
      <x:c r="D471" s="271" t="str">
        <x:f>IF($B471="","",IFERROR(IF(INDEX(Obras!$G$5:$G$19,MATCH($B471,Obras!$A$5:$A$19,0))="","",INDEX(Obras!$G$5:$G$19,MATCH($B471,Obras!$A$5:$A$19,0))),""))</x:f>
      </x:c>
      <x:c r="E471" s="259"/>
      <x:c r="F471" s="268"/>
      <x:c r="G471" s="259"/>
      <x:c r="H471" s="259"/>
      <x:c r="I471" s="259"/>
      <x:c r="J471" s="181" t="str">
        <x:f t="shared" si="14"/>
      </x:c>
      <x:c r="K471" s="176" t="str">
        <x:f t="shared" si="15"/>
      </x:c>
      <x:c r="L471" s="181" t="str">
        <x:f>IF($C471="","",IFERROR(IF(INDEX(Catalogo!$H$5:$H$86,MATCH($C471,Catalogo!$A$5:$A$86,0))="","",INDEX(Catalogo!$H$5:$H$86,MATCH($C471,Catalogo!$A$5:$A$86,0))),""))</x:f>
      </x:c>
      <x:c r="M471" s="176" t="str">
        <x:f>IF(OR($B471="",$L471=""),"",IFERROR(IF(INDEX(Obras!$H$5:$H$19,MATCH($B471,Obras!$A$5:$A$19,0))="","",IF(INDEX(Obras!$H$5:$H$19,MATCH($B471,Obras!$A$5:$A$19,0))&gt;$L471,"VENCIDA",IF($L471-INDEX(Obras!$H$5:$H$19,MATCH($B471,Obras!$A$5:$A$19,0))&lt;=0.5,"VENCE EM ATÉ 6 MESES","VIGENTE"))),""))</x:f>
      </x:c>
      <x:c r="N471" s="268"/>
    </x:row>
    <x:row r="472" ht="30" customHeight="1">
      <x:c r="A472" s="176" t="str">
        <x:f>IF(OR($B472="",$C472=""),"","LC-"&amp;TEXT(468,"0000"))</x:f>
      </x:c>
      <x:c r="B472" s="259"/>
      <x:c r="C472" s="259"/>
      <x:c r="D472" s="271" t="str">
        <x:f>IF($B472="","",IFERROR(IF(INDEX(Obras!$G$5:$G$19,MATCH($B472,Obras!$A$5:$A$19,0))="","",INDEX(Obras!$G$5:$G$19,MATCH($B472,Obras!$A$5:$A$19,0))),""))</x:f>
      </x:c>
      <x:c r="E472" s="259"/>
      <x:c r="F472" s="268"/>
      <x:c r="G472" s="259"/>
      <x:c r="H472" s="259"/>
      <x:c r="I472" s="259"/>
      <x:c r="J472" s="181" t="str">
        <x:f t="shared" si="14"/>
      </x:c>
      <x:c r="K472" s="176" t="str">
        <x:f t="shared" si="15"/>
      </x:c>
      <x:c r="L472" s="181" t="str">
        <x:f>IF($C472="","",IFERROR(IF(INDEX(Catalogo!$H$5:$H$86,MATCH($C472,Catalogo!$A$5:$A$86,0))="","",INDEX(Catalogo!$H$5:$H$86,MATCH($C472,Catalogo!$A$5:$A$86,0))),""))</x:f>
      </x:c>
      <x:c r="M472" s="176" t="str">
        <x:f>IF(OR($B472="",$L472=""),"",IFERROR(IF(INDEX(Obras!$H$5:$H$19,MATCH($B472,Obras!$A$5:$A$19,0))="","",IF(INDEX(Obras!$H$5:$H$19,MATCH($B472,Obras!$A$5:$A$19,0))&gt;$L472,"VENCIDA",IF($L472-INDEX(Obras!$H$5:$H$19,MATCH($B472,Obras!$A$5:$A$19,0))&lt;=0.5,"VENCE EM ATÉ 6 MESES","VIGENTE"))),""))</x:f>
      </x:c>
      <x:c r="N472" s="268"/>
    </x:row>
    <x:row r="473" ht="30" customHeight="1">
      <x:c r="A473" s="176" t="str">
        <x:f>IF(OR($B473="",$C473=""),"","LC-"&amp;TEXT(469,"0000"))</x:f>
      </x:c>
      <x:c r="B473" s="259"/>
      <x:c r="C473" s="259"/>
      <x:c r="D473" s="271" t="str">
        <x:f>IF($B473="","",IFERROR(IF(INDEX(Obras!$G$5:$G$19,MATCH($B473,Obras!$A$5:$A$19,0))="","",INDEX(Obras!$G$5:$G$19,MATCH($B473,Obras!$A$5:$A$19,0))),""))</x:f>
      </x:c>
      <x:c r="E473" s="259"/>
      <x:c r="F473" s="268"/>
      <x:c r="G473" s="259"/>
      <x:c r="H473" s="259"/>
      <x:c r="I473" s="259"/>
      <x:c r="J473" s="181" t="str">
        <x:f t="shared" si="14"/>
      </x:c>
      <x:c r="K473" s="176" t="str">
        <x:f t="shared" si="15"/>
      </x:c>
      <x:c r="L473" s="181" t="str">
        <x:f>IF($C473="","",IFERROR(IF(INDEX(Catalogo!$H$5:$H$86,MATCH($C473,Catalogo!$A$5:$A$86,0))="","",INDEX(Catalogo!$H$5:$H$86,MATCH($C473,Catalogo!$A$5:$A$86,0))),""))</x:f>
      </x:c>
      <x:c r="M473" s="176" t="str">
        <x:f>IF(OR($B473="",$L473=""),"",IFERROR(IF(INDEX(Obras!$H$5:$H$19,MATCH($B473,Obras!$A$5:$A$19,0))="","",IF(INDEX(Obras!$H$5:$H$19,MATCH($B473,Obras!$A$5:$A$19,0))&gt;$L473,"VENCIDA",IF($L473-INDEX(Obras!$H$5:$H$19,MATCH($B473,Obras!$A$5:$A$19,0))&lt;=0.5,"VENCE EM ATÉ 6 MESES","VIGENTE"))),""))</x:f>
      </x:c>
      <x:c r="N473" s="268"/>
    </x:row>
    <x:row r="474" ht="30" customHeight="1">
      <x:c r="A474" s="176" t="str">
        <x:f>IF(OR($B474="",$C474=""),"","LC-"&amp;TEXT(470,"0000"))</x:f>
      </x:c>
      <x:c r="B474" s="259"/>
      <x:c r="C474" s="259"/>
      <x:c r="D474" s="271" t="str">
        <x:f>IF($B474="","",IFERROR(IF(INDEX(Obras!$G$5:$G$19,MATCH($B474,Obras!$A$5:$A$19,0))="","",INDEX(Obras!$G$5:$G$19,MATCH($B474,Obras!$A$5:$A$19,0))),""))</x:f>
      </x:c>
      <x:c r="E474" s="259"/>
      <x:c r="F474" s="268"/>
      <x:c r="G474" s="259"/>
      <x:c r="H474" s="259"/>
      <x:c r="I474" s="259"/>
      <x:c r="J474" s="181" t="str">
        <x:f t="shared" si="14"/>
      </x:c>
      <x:c r="K474" s="176" t="str">
        <x:f t="shared" si="15"/>
      </x:c>
      <x:c r="L474" s="181" t="str">
        <x:f>IF($C474="","",IFERROR(IF(INDEX(Catalogo!$H$5:$H$86,MATCH($C474,Catalogo!$A$5:$A$86,0))="","",INDEX(Catalogo!$H$5:$H$86,MATCH($C474,Catalogo!$A$5:$A$86,0))),""))</x:f>
      </x:c>
      <x:c r="M474" s="176" t="str">
        <x:f>IF(OR($B474="",$L474=""),"",IFERROR(IF(INDEX(Obras!$H$5:$H$19,MATCH($B474,Obras!$A$5:$A$19,0))="","",IF(INDEX(Obras!$H$5:$H$19,MATCH($B474,Obras!$A$5:$A$19,0))&gt;$L474,"VENCIDA",IF($L474-INDEX(Obras!$H$5:$H$19,MATCH($B474,Obras!$A$5:$A$19,0))&lt;=0.5,"VENCE EM ATÉ 6 MESES","VIGENTE"))),""))</x:f>
      </x:c>
      <x:c r="N474" s="268"/>
    </x:row>
    <x:row r="475" ht="30" customHeight="1">
      <x:c r="A475" s="176" t="str">
        <x:f>IF(OR($B475="",$C475=""),"","LC-"&amp;TEXT(471,"0000"))</x:f>
      </x:c>
      <x:c r="B475" s="259"/>
      <x:c r="C475" s="259"/>
      <x:c r="D475" s="271" t="str">
        <x:f>IF($B475="","",IFERROR(IF(INDEX(Obras!$G$5:$G$19,MATCH($B475,Obras!$A$5:$A$19,0))="","",INDEX(Obras!$G$5:$G$19,MATCH($B475,Obras!$A$5:$A$19,0))),""))</x:f>
      </x:c>
      <x:c r="E475" s="259"/>
      <x:c r="F475" s="268"/>
      <x:c r="G475" s="259"/>
      <x:c r="H475" s="259"/>
      <x:c r="I475" s="259"/>
      <x:c r="J475" s="181" t="str">
        <x:f t="shared" si="14"/>
      </x:c>
      <x:c r="K475" s="176" t="str">
        <x:f t="shared" si="15"/>
      </x:c>
      <x:c r="L475" s="181" t="str">
        <x:f>IF($C475="","",IFERROR(IF(INDEX(Catalogo!$H$5:$H$86,MATCH($C475,Catalogo!$A$5:$A$86,0))="","",INDEX(Catalogo!$H$5:$H$86,MATCH($C475,Catalogo!$A$5:$A$86,0))),""))</x:f>
      </x:c>
      <x:c r="M475" s="176" t="str">
        <x:f>IF(OR($B475="",$L475=""),"",IFERROR(IF(INDEX(Obras!$H$5:$H$19,MATCH($B475,Obras!$A$5:$A$19,0))="","",IF(INDEX(Obras!$H$5:$H$19,MATCH($B475,Obras!$A$5:$A$19,0))&gt;$L475,"VENCIDA",IF($L475-INDEX(Obras!$H$5:$H$19,MATCH($B475,Obras!$A$5:$A$19,0))&lt;=0.5,"VENCE EM ATÉ 6 MESES","VIGENTE"))),""))</x:f>
      </x:c>
      <x:c r="N475" s="268"/>
    </x:row>
    <x:row r="476" ht="30" customHeight="1">
      <x:c r="A476" s="176" t="str">
        <x:f>IF(OR($B476="",$C476=""),"","LC-"&amp;TEXT(472,"0000"))</x:f>
      </x:c>
      <x:c r="B476" s="259"/>
      <x:c r="C476" s="259"/>
      <x:c r="D476" s="271" t="str">
        <x:f>IF($B476="","",IFERROR(IF(INDEX(Obras!$G$5:$G$19,MATCH($B476,Obras!$A$5:$A$19,0))="","",INDEX(Obras!$G$5:$G$19,MATCH($B476,Obras!$A$5:$A$19,0))),""))</x:f>
      </x:c>
      <x:c r="E476" s="259"/>
      <x:c r="F476" s="268"/>
      <x:c r="G476" s="259"/>
      <x:c r="H476" s="259"/>
      <x:c r="I476" s="259"/>
      <x:c r="J476" s="181" t="str">
        <x:f t="shared" si="14"/>
      </x:c>
      <x:c r="K476" s="176" t="str">
        <x:f t="shared" si="15"/>
      </x:c>
      <x:c r="L476" s="181" t="str">
        <x:f>IF($C476="","",IFERROR(IF(INDEX(Catalogo!$H$5:$H$86,MATCH($C476,Catalogo!$A$5:$A$86,0))="","",INDEX(Catalogo!$H$5:$H$86,MATCH($C476,Catalogo!$A$5:$A$86,0))),""))</x:f>
      </x:c>
      <x:c r="M476" s="176" t="str">
        <x:f>IF(OR($B476="",$L476=""),"",IFERROR(IF(INDEX(Obras!$H$5:$H$19,MATCH($B476,Obras!$A$5:$A$19,0))="","",IF(INDEX(Obras!$H$5:$H$19,MATCH($B476,Obras!$A$5:$A$19,0))&gt;$L476,"VENCIDA",IF($L476-INDEX(Obras!$H$5:$H$19,MATCH($B476,Obras!$A$5:$A$19,0))&lt;=0.5,"VENCE EM ATÉ 6 MESES","VIGENTE"))),""))</x:f>
      </x:c>
      <x:c r="N476" s="268"/>
    </x:row>
    <x:row r="477" ht="30" customHeight="1">
      <x:c r="A477" s="176" t="str">
        <x:f>IF(OR($B477="",$C477=""),"","LC-"&amp;TEXT(473,"0000"))</x:f>
      </x:c>
      <x:c r="B477" s="259"/>
      <x:c r="C477" s="259"/>
      <x:c r="D477" s="271" t="str">
        <x:f>IF($B477="","",IFERROR(IF(INDEX(Obras!$G$5:$G$19,MATCH($B477,Obras!$A$5:$A$19,0))="","",INDEX(Obras!$G$5:$G$19,MATCH($B477,Obras!$A$5:$A$19,0))),""))</x:f>
      </x:c>
      <x:c r="E477" s="259"/>
      <x:c r="F477" s="268"/>
      <x:c r="G477" s="259"/>
      <x:c r="H477" s="259"/>
      <x:c r="I477" s="259"/>
      <x:c r="J477" s="181" t="str">
        <x:f t="shared" si="14"/>
      </x:c>
      <x:c r="K477" s="176" t="str">
        <x:f t="shared" si="15"/>
      </x:c>
      <x:c r="L477" s="181" t="str">
        <x:f>IF($C477="","",IFERROR(IF(INDEX(Catalogo!$H$5:$H$86,MATCH($C477,Catalogo!$A$5:$A$86,0))="","",INDEX(Catalogo!$H$5:$H$86,MATCH($C477,Catalogo!$A$5:$A$86,0))),""))</x:f>
      </x:c>
      <x:c r="M477" s="176" t="str">
        <x:f>IF(OR($B477="",$L477=""),"",IFERROR(IF(INDEX(Obras!$H$5:$H$19,MATCH($B477,Obras!$A$5:$A$19,0))="","",IF(INDEX(Obras!$H$5:$H$19,MATCH($B477,Obras!$A$5:$A$19,0))&gt;$L477,"VENCIDA",IF($L477-INDEX(Obras!$H$5:$H$19,MATCH($B477,Obras!$A$5:$A$19,0))&lt;=0.5,"VENCE EM ATÉ 6 MESES","VIGENTE"))),""))</x:f>
      </x:c>
      <x:c r="N477" s="268"/>
    </x:row>
    <x:row r="478" ht="30" customHeight="1">
      <x:c r="A478" s="176" t="str">
        <x:f>IF(OR($B478="",$C478=""),"","LC-"&amp;TEXT(474,"0000"))</x:f>
      </x:c>
      <x:c r="B478" s="259"/>
      <x:c r="C478" s="259"/>
      <x:c r="D478" s="271" t="str">
        <x:f>IF($B478="","",IFERROR(IF(INDEX(Obras!$G$5:$G$19,MATCH($B478,Obras!$A$5:$A$19,0))="","",INDEX(Obras!$G$5:$G$19,MATCH($B478,Obras!$A$5:$A$19,0))),""))</x:f>
      </x:c>
      <x:c r="E478" s="259"/>
      <x:c r="F478" s="268"/>
      <x:c r="G478" s="259"/>
      <x:c r="H478" s="259"/>
      <x:c r="I478" s="259"/>
      <x:c r="J478" s="181" t="str">
        <x:f t="shared" si="14"/>
      </x:c>
      <x:c r="K478" s="176" t="str">
        <x:f t="shared" si="15"/>
      </x:c>
      <x:c r="L478" s="181" t="str">
        <x:f>IF($C478="","",IFERROR(IF(INDEX(Catalogo!$H$5:$H$86,MATCH($C478,Catalogo!$A$5:$A$86,0))="","",INDEX(Catalogo!$H$5:$H$86,MATCH($C478,Catalogo!$A$5:$A$86,0))),""))</x:f>
      </x:c>
      <x:c r="M478" s="176" t="str">
        <x:f>IF(OR($B478="",$L478=""),"",IFERROR(IF(INDEX(Obras!$H$5:$H$19,MATCH($B478,Obras!$A$5:$A$19,0))="","",IF(INDEX(Obras!$H$5:$H$19,MATCH($B478,Obras!$A$5:$A$19,0))&gt;$L478,"VENCIDA",IF($L478-INDEX(Obras!$H$5:$H$19,MATCH($B478,Obras!$A$5:$A$19,0))&lt;=0.5,"VENCE EM ATÉ 6 MESES","VIGENTE"))),""))</x:f>
      </x:c>
      <x:c r="N478" s="268"/>
    </x:row>
    <x:row r="479" ht="30" customHeight="1">
      <x:c r="A479" s="176" t="str">
        <x:f>IF(OR($B479="",$C479=""),"","LC-"&amp;TEXT(475,"0000"))</x:f>
      </x:c>
      <x:c r="B479" s="259"/>
      <x:c r="C479" s="259"/>
      <x:c r="D479" s="271" t="str">
        <x:f>IF($B479="","",IFERROR(IF(INDEX(Obras!$G$5:$G$19,MATCH($B479,Obras!$A$5:$A$19,0))="","",INDEX(Obras!$G$5:$G$19,MATCH($B479,Obras!$A$5:$A$19,0))),""))</x:f>
      </x:c>
      <x:c r="E479" s="259"/>
      <x:c r="F479" s="268"/>
      <x:c r="G479" s="259"/>
      <x:c r="H479" s="259"/>
      <x:c r="I479" s="259"/>
      <x:c r="J479" s="181" t="str">
        <x:f t="shared" si="14"/>
      </x:c>
      <x:c r="K479" s="176" t="str">
        <x:f t="shared" si="15"/>
      </x:c>
      <x:c r="L479" s="181" t="str">
        <x:f>IF($C479="","",IFERROR(IF(INDEX(Catalogo!$H$5:$H$86,MATCH($C479,Catalogo!$A$5:$A$86,0))="","",INDEX(Catalogo!$H$5:$H$86,MATCH($C479,Catalogo!$A$5:$A$86,0))),""))</x:f>
      </x:c>
      <x:c r="M479" s="176" t="str">
        <x:f>IF(OR($B479="",$L479=""),"",IFERROR(IF(INDEX(Obras!$H$5:$H$19,MATCH($B479,Obras!$A$5:$A$19,0))="","",IF(INDEX(Obras!$H$5:$H$19,MATCH($B479,Obras!$A$5:$A$19,0))&gt;$L479,"VENCIDA",IF($L479-INDEX(Obras!$H$5:$H$19,MATCH($B479,Obras!$A$5:$A$19,0))&lt;=0.5,"VENCE EM ATÉ 6 MESES","VIGENTE"))),""))</x:f>
      </x:c>
      <x:c r="N479" s="268"/>
    </x:row>
    <x:row r="480" ht="30" customHeight="1">
      <x:c r="A480" s="176" t="str">
        <x:f>IF(OR($B480="",$C480=""),"","LC-"&amp;TEXT(476,"0000"))</x:f>
      </x:c>
      <x:c r="B480" s="259"/>
      <x:c r="C480" s="259"/>
      <x:c r="D480" s="271" t="str">
        <x:f>IF($B480="","",IFERROR(IF(INDEX(Obras!$G$5:$G$19,MATCH($B480,Obras!$A$5:$A$19,0))="","",INDEX(Obras!$G$5:$G$19,MATCH($B480,Obras!$A$5:$A$19,0))),""))</x:f>
      </x:c>
      <x:c r="E480" s="259"/>
      <x:c r="F480" s="268"/>
      <x:c r="G480" s="259"/>
      <x:c r="H480" s="259"/>
      <x:c r="I480" s="259"/>
      <x:c r="J480" s="181" t="str">
        <x:f t="shared" si="14"/>
      </x:c>
      <x:c r="K480" s="176" t="str">
        <x:f t="shared" si="15"/>
      </x:c>
      <x:c r="L480" s="181" t="str">
        <x:f>IF($C480="","",IFERROR(IF(INDEX(Catalogo!$H$5:$H$86,MATCH($C480,Catalogo!$A$5:$A$86,0))="","",INDEX(Catalogo!$H$5:$H$86,MATCH($C480,Catalogo!$A$5:$A$86,0))),""))</x:f>
      </x:c>
      <x:c r="M480" s="176" t="str">
        <x:f>IF(OR($B480="",$L480=""),"",IFERROR(IF(INDEX(Obras!$H$5:$H$19,MATCH($B480,Obras!$A$5:$A$19,0))="","",IF(INDEX(Obras!$H$5:$H$19,MATCH($B480,Obras!$A$5:$A$19,0))&gt;$L480,"VENCIDA",IF($L480-INDEX(Obras!$H$5:$H$19,MATCH($B480,Obras!$A$5:$A$19,0))&lt;=0.5,"VENCE EM ATÉ 6 MESES","VIGENTE"))),""))</x:f>
      </x:c>
      <x:c r="N480" s="268"/>
    </x:row>
    <x:row r="481" ht="30" customHeight="1">
      <x:c r="A481" s="176" t="str">
        <x:f>IF(OR($B481="",$C481=""),"","LC-"&amp;TEXT(477,"0000"))</x:f>
      </x:c>
      <x:c r="B481" s="259"/>
      <x:c r="C481" s="259"/>
      <x:c r="D481" s="271" t="str">
        <x:f>IF($B481="","",IFERROR(IF(INDEX(Obras!$G$5:$G$19,MATCH($B481,Obras!$A$5:$A$19,0))="","",INDEX(Obras!$G$5:$G$19,MATCH($B481,Obras!$A$5:$A$19,0))),""))</x:f>
      </x:c>
      <x:c r="E481" s="259"/>
      <x:c r="F481" s="268"/>
      <x:c r="G481" s="259"/>
      <x:c r="H481" s="259"/>
      <x:c r="I481" s="259"/>
      <x:c r="J481" s="181" t="str">
        <x:f t="shared" si="14"/>
      </x:c>
      <x:c r="K481" s="176" t="str">
        <x:f t="shared" si="15"/>
      </x:c>
      <x:c r="L481" s="181" t="str">
        <x:f>IF($C481="","",IFERROR(IF(INDEX(Catalogo!$H$5:$H$86,MATCH($C481,Catalogo!$A$5:$A$86,0))="","",INDEX(Catalogo!$H$5:$H$86,MATCH($C481,Catalogo!$A$5:$A$86,0))),""))</x:f>
      </x:c>
      <x:c r="M481" s="176" t="str">
        <x:f>IF(OR($B481="",$L481=""),"",IFERROR(IF(INDEX(Obras!$H$5:$H$19,MATCH($B481,Obras!$A$5:$A$19,0))="","",IF(INDEX(Obras!$H$5:$H$19,MATCH($B481,Obras!$A$5:$A$19,0))&gt;$L481,"VENCIDA",IF($L481-INDEX(Obras!$H$5:$H$19,MATCH($B481,Obras!$A$5:$A$19,0))&lt;=0.5,"VENCE EM ATÉ 6 MESES","VIGENTE"))),""))</x:f>
      </x:c>
      <x:c r="N481" s="268"/>
    </x:row>
    <x:row r="482" ht="30" customHeight="1">
      <x:c r="A482" s="176" t="str">
        <x:f>IF(OR($B482="",$C482=""),"","LC-"&amp;TEXT(478,"0000"))</x:f>
      </x:c>
      <x:c r="B482" s="259"/>
      <x:c r="C482" s="259"/>
      <x:c r="D482" s="271" t="str">
        <x:f>IF($B482="","",IFERROR(IF(INDEX(Obras!$G$5:$G$19,MATCH($B482,Obras!$A$5:$A$19,0))="","",INDEX(Obras!$G$5:$G$19,MATCH($B482,Obras!$A$5:$A$19,0))),""))</x:f>
      </x:c>
      <x:c r="E482" s="259"/>
      <x:c r="F482" s="268"/>
      <x:c r="G482" s="259"/>
      <x:c r="H482" s="259"/>
      <x:c r="I482" s="259"/>
      <x:c r="J482" s="181" t="str">
        <x:f t="shared" si="14"/>
      </x:c>
      <x:c r="K482" s="176" t="str">
        <x:f t="shared" si="15"/>
      </x:c>
      <x:c r="L482" s="181" t="str">
        <x:f>IF($C482="","",IFERROR(IF(INDEX(Catalogo!$H$5:$H$86,MATCH($C482,Catalogo!$A$5:$A$86,0))="","",INDEX(Catalogo!$H$5:$H$86,MATCH($C482,Catalogo!$A$5:$A$86,0))),""))</x:f>
      </x:c>
      <x:c r="M482" s="176" t="str">
        <x:f>IF(OR($B482="",$L482=""),"",IFERROR(IF(INDEX(Obras!$H$5:$H$19,MATCH($B482,Obras!$A$5:$A$19,0))="","",IF(INDEX(Obras!$H$5:$H$19,MATCH($B482,Obras!$A$5:$A$19,0))&gt;$L482,"VENCIDA",IF($L482-INDEX(Obras!$H$5:$H$19,MATCH($B482,Obras!$A$5:$A$19,0))&lt;=0.5,"VENCE EM ATÉ 6 MESES","VIGENTE"))),""))</x:f>
      </x:c>
      <x:c r="N482" s="268"/>
    </x:row>
    <x:row r="483" ht="30" customHeight="1">
      <x:c r="A483" s="176" t="str">
        <x:f>IF(OR($B483="",$C483=""),"","LC-"&amp;TEXT(479,"0000"))</x:f>
      </x:c>
      <x:c r="B483" s="259"/>
      <x:c r="C483" s="259"/>
      <x:c r="D483" s="271" t="str">
        <x:f>IF($B483="","",IFERROR(IF(INDEX(Obras!$G$5:$G$19,MATCH($B483,Obras!$A$5:$A$19,0))="","",INDEX(Obras!$G$5:$G$19,MATCH($B483,Obras!$A$5:$A$19,0))),""))</x:f>
      </x:c>
      <x:c r="E483" s="259"/>
      <x:c r="F483" s="268"/>
      <x:c r="G483" s="259"/>
      <x:c r="H483" s="259"/>
      <x:c r="I483" s="259"/>
      <x:c r="J483" s="181" t="str">
        <x:f t="shared" si="14"/>
      </x:c>
      <x:c r="K483" s="176" t="str">
        <x:f t="shared" si="15"/>
      </x:c>
      <x:c r="L483" s="181" t="str">
        <x:f>IF($C483="","",IFERROR(IF(INDEX(Catalogo!$H$5:$H$86,MATCH($C483,Catalogo!$A$5:$A$86,0))="","",INDEX(Catalogo!$H$5:$H$86,MATCH($C483,Catalogo!$A$5:$A$86,0))),""))</x:f>
      </x:c>
      <x:c r="M483" s="176" t="str">
        <x:f>IF(OR($B483="",$L483=""),"",IFERROR(IF(INDEX(Obras!$H$5:$H$19,MATCH($B483,Obras!$A$5:$A$19,0))="","",IF(INDEX(Obras!$H$5:$H$19,MATCH($B483,Obras!$A$5:$A$19,0))&gt;$L483,"VENCIDA",IF($L483-INDEX(Obras!$H$5:$H$19,MATCH($B483,Obras!$A$5:$A$19,0))&lt;=0.5,"VENCE EM ATÉ 6 MESES","VIGENTE"))),""))</x:f>
      </x:c>
      <x:c r="N483" s="268"/>
    </x:row>
    <x:row r="484" ht="30" customHeight="1">
      <x:c r="A484" s="176" t="str">
        <x:f>IF(OR($B484="",$C484=""),"","LC-"&amp;TEXT(480,"0000"))</x:f>
      </x:c>
      <x:c r="B484" s="259"/>
      <x:c r="C484" s="259"/>
      <x:c r="D484" s="271" t="str">
        <x:f>IF($B484="","",IFERROR(IF(INDEX(Obras!$G$5:$G$19,MATCH($B484,Obras!$A$5:$A$19,0))="","",INDEX(Obras!$G$5:$G$19,MATCH($B484,Obras!$A$5:$A$19,0))),""))</x:f>
      </x:c>
      <x:c r="E484" s="259"/>
      <x:c r="F484" s="268"/>
      <x:c r="G484" s="259"/>
      <x:c r="H484" s="259"/>
      <x:c r="I484" s="259"/>
      <x:c r="J484" s="181" t="str">
        <x:f t="shared" si="14"/>
      </x:c>
      <x:c r="K484" s="176" t="str">
        <x:f t="shared" si="15"/>
      </x:c>
      <x:c r="L484" s="181" t="str">
        <x:f>IF($C484="","",IFERROR(IF(INDEX(Catalogo!$H$5:$H$86,MATCH($C484,Catalogo!$A$5:$A$86,0))="","",INDEX(Catalogo!$H$5:$H$86,MATCH($C484,Catalogo!$A$5:$A$86,0))),""))</x:f>
      </x:c>
      <x:c r="M484" s="176" t="str">
        <x:f>IF(OR($B484="",$L484=""),"",IFERROR(IF(INDEX(Obras!$H$5:$H$19,MATCH($B484,Obras!$A$5:$A$19,0))="","",IF(INDEX(Obras!$H$5:$H$19,MATCH($B484,Obras!$A$5:$A$19,0))&gt;$L484,"VENCIDA",IF($L484-INDEX(Obras!$H$5:$H$19,MATCH($B484,Obras!$A$5:$A$19,0))&lt;=0.5,"VENCE EM ATÉ 6 MESES","VIGENTE"))),""))</x:f>
      </x:c>
      <x:c r="N484" s="268"/>
    </x:row>
    <x:row r="485" ht="30" customHeight="1">
      <x:c r="A485" s="176" t="str">
        <x:f>IF(OR($B485="",$C485=""),"","LC-"&amp;TEXT(481,"0000"))</x:f>
      </x:c>
      <x:c r="B485" s="259"/>
      <x:c r="C485" s="259"/>
      <x:c r="D485" s="271" t="str">
        <x:f>IF($B485="","",IFERROR(IF(INDEX(Obras!$G$5:$G$19,MATCH($B485,Obras!$A$5:$A$19,0))="","",INDEX(Obras!$G$5:$G$19,MATCH($B485,Obras!$A$5:$A$19,0))),""))</x:f>
      </x:c>
      <x:c r="E485" s="259"/>
      <x:c r="F485" s="268"/>
      <x:c r="G485" s="259"/>
      <x:c r="H485" s="259"/>
      <x:c r="I485" s="259"/>
      <x:c r="J485" s="181" t="str">
        <x:f t="shared" si="14"/>
      </x:c>
      <x:c r="K485" s="176" t="str">
        <x:f t="shared" si="15"/>
      </x:c>
      <x:c r="L485" s="181" t="str">
        <x:f>IF($C485="","",IFERROR(IF(INDEX(Catalogo!$H$5:$H$86,MATCH($C485,Catalogo!$A$5:$A$86,0))="","",INDEX(Catalogo!$H$5:$H$86,MATCH($C485,Catalogo!$A$5:$A$86,0))),""))</x:f>
      </x:c>
      <x:c r="M485" s="176" t="str">
        <x:f>IF(OR($B485="",$L485=""),"",IFERROR(IF(INDEX(Obras!$H$5:$H$19,MATCH($B485,Obras!$A$5:$A$19,0))="","",IF(INDEX(Obras!$H$5:$H$19,MATCH($B485,Obras!$A$5:$A$19,0))&gt;$L485,"VENCIDA",IF($L485-INDEX(Obras!$H$5:$H$19,MATCH($B485,Obras!$A$5:$A$19,0))&lt;=0.5,"VENCE EM ATÉ 6 MESES","VIGENTE"))),""))</x:f>
      </x:c>
      <x:c r="N485" s="268"/>
    </x:row>
    <x:row r="486" ht="30" customHeight="1">
      <x:c r="A486" s="176" t="str">
        <x:f>IF(OR($B486="",$C486=""),"","LC-"&amp;TEXT(482,"0000"))</x:f>
      </x:c>
      <x:c r="B486" s="259"/>
      <x:c r="C486" s="259"/>
      <x:c r="D486" s="271" t="str">
        <x:f>IF($B486="","",IFERROR(IF(INDEX(Obras!$G$5:$G$19,MATCH($B486,Obras!$A$5:$A$19,0))="","",INDEX(Obras!$G$5:$G$19,MATCH($B486,Obras!$A$5:$A$19,0))),""))</x:f>
      </x:c>
      <x:c r="E486" s="259"/>
      <x:c r="F486" s="268"/>
      <x:c r="G486" s="259"/>
      <x:c r="H486" s="259"/>
      <x:c r="I486" s="259"/>
      <x:c r="J486" s="181" t="str">
        <x:f t="shared" si="14"/>
      </x:c>
      <x:c r="K486" s="176" t="str">
        <x:f t="shared" si="15"/>
      </x:c>
      <x:c r="L486" s="181" t="str">
        <x:f>IF($C486="","",IFERROR(IF(INDEX(Catalogo!$H$5:$H$86,MATCH($C486,Catalogo!$A$5:$A$86,0))="","",INDEX(Catalogo!$H$5:$H$86,MATCH($C486,Catalogo!$A$5:$A$86,0))),""))</x:f>
      </x:c>
      <x:c r="M486" s="176" t="str">
        <x:f>IF(OR($B486="",$L486=""),"",IFERROR(IF(INDEX(Obras!$H$5:$H$19,MATCH($B486,Obras!$A$5:$A$19,0))="","",IF(INDEX(Obras!$H$5:$H$19,MATCH($B486,Obras!$A$5:$A$19,0))&gt;$L486,"VENCIDA",IF($L486-INDEX(Obras!$H$5:$H$19,MATCH($B486,Obras!$A$5:$A$19,0))&lt;=0.5,"VENCE EM ATÉ 6 MESES","VIGENTE"))),""))</x:f>
      </x:c>
      <x:c r="N486" s="268"/>
    </x:row>
    <x:row r="487" ht="30" customHeight="1">
      <x:c r="A487" s="176" t="str">
        <x:f>IF(OR($B487="",$C487=""),"","LC-"&amp;TEXT(483,"0000"))</x:f>
      </x:c>
      <x:c r="B487" s="259"/>
      <x:c r="C487" s="259"/>
      <x:c r="D487" s="271" t="str">
        <x:f>IF($B487="","",IFERROR(IF(INDEX(Obras!$G$5:$G$19,MATCH($B487,Obras!$A$5:$A$19,0))="","",INDEX(Obras!$G$5:$G$19,MATCH($B487,Obras!$A$5:$A$19,0))),""))</x:f>
      </x:c>
      <x:c r="E487" s="259"/>
      <x:c r="F487" s="268"/>
      <x:c r="G487" s="259"/>
      <x:c r="H487" s="259"/>
      <x:c r="I487" s="259"/>
      <x:c r="J487" s="181" t="str">
        <x:f t="shared" si="14"/>
      </x:c>
      <x:c r="K487" s="176" t="str">
        <x:f t="shared" si="15"/>
      </x:c>
      <x:c r="L487" s="181" t="str">
        <x:f>IF($C487="","",IFERROR(IF(INDEX(Catalogo!$H$5:$H$86,MATCH($C487,Catalogo!$A$5:$A$86,0))="","",INDEX(Catalogo!$H$5:$H$86,MATCH($C487,Catalogo!$A$5:$A$86,0))),""))</x:f>
      </x:c>
      <x:c r="M487" s="176" t="str">
        <x:f>IF(OR($B487="",$L487=""),"",IFERROR(IF(INDEX(Obras!$H$5:$H$19,MATCH($B487,Obras!$A$5:$A$19,0))="","",IF(INDEX(Obras!$H$5:$H$19,MATCH($B487,Obras!$A$5:$A$19,0))&gt;$L487,"VENCIDA",IF($L487-INDEX(Obras!$H$5:$H$19,MATCH($B487,Obras!$A$5:$A$19,0))&lt;=0.5,"VENCE EM ATÉ 6 MESES","VIGENTE"))),""))</x:f>
      </x:c>
      <x:c r="N487" s="268"/>
    </x:row>
    <x:row r="488" ht="30" customHeight="1">
      <x:c r="A488" s="176" t="str">
        <x:f>IF(OR($B488="",$C488=""),"","LC-"&amp;TEXT(484,"0000"))</x:f>
      </x:c>
      <x:c r="B488" s="259"/>
      <x:c r="C488" s="259"/>
      <x:c r="D488" s="271" t="str">
        <x:f>IF($B488="","",IFERROR(IF(INDEX(Obras!$G$5:$G$19,MATCH($B488,Obras!$A$5:$A$19,0))="","",INDEX(Obras!$G$5:$G$19,MATCH($B488,Obras!$A$5:$A$19,0))),""))</x:f>
      </x:c>
      <x:c r="E488" s="259"/>
      <x:c r="F488" s="268"/>
      <x:c r="G488" s="259"/>
      <x:c r="H488" s="259"/>
      <x:c r="I488" s="259"/>
      <x:c r="J488" s="181" t="str">
        <x:f t="shared" si="14"/>
      </x:c>
      <x:c r="K488" s="176" t="str">
        <x:f t="shared" si="15"/>
      </x:c>
      <x:c r="L488" s="181" t="str">
        <x:f>IF($C488="","",IFERROR(IF(INDEX(Catalogo!$H$5:$H$86,MATCH($C488,Catalogo!$A$5:$A$86,0))="","",INDEX(Catalogo!$H$5:$H$86,MATCH($C488,Catalogo!$A$5:$A$86,0))),""))</x:f>
      </x:c>
      <x:c r="M488" s="176" t="str">
        <x:f>IF(OR($B488="",$L488=""),"",IFERROR(IF(INDEX(Obras!$H$5:$H$19,MATCH($B488,Obras!$A$5:$A$19,0))="","",IF(INDEX(Obras!$H$5:$H$19,MATCH($B488,Obras!$A$5:$A$19,0))&gt;$L488,"VENCIDA",IF($L488-INDEX(Obras!$H$5:$H$19,MATCH($B488,Obras!$A$5:$A$19,0))&lt;=0.5,"VENCE EM ATÉ 6 MESES","VIGENTE"))),""))</x:f>
      </x:c>
      <x:c r="N488" s="268"/>
    </x:row>
    <x:row r="489" ht="30" customHeight="1">
      <x:c r="A489" s="176" t="str">
        <x:f>IF(OR($B489="",$C489=""),"","LC-"&amp;TEXT(485,"0000"))</x:f>
      </x:c>
      <x:c r="B489" s="259"/>
      <x:c r="C489" s="259"/>
      <x:c r="D489" s="271" t="str">
        <x:f>IF($B489="","",IFERROR(IF(INDEX(Obras!$G$5:$G$19,MATCH($B489,Obras!$A$5:$A$19,0))="","",INDEX(Obras!$G$5:$G$19,MATCH($B489,Obras!$A$5:$A$19,0))),""))</x:f>
      </x:c>
      <x:c r="E489" s="259"/>
      <x:c r="F489" s="268"/>
      <x:c r="G489" s="259"/>
      <x:c r="H489" s="259"/>
      <x:c r="I489" s="259"/>
      <x:c r="J489" s="181" t="str">
        <x:f t="shared" si="14"/>
      </x:c>
      <x:c r="K489" s="176" t="str">
        <x:f t="shared" si="15"/>
      </x:c>
      <x:c r="L489" s="181" t="str">
        <x:f>IF($C489="","",IFERROR(IF(INDEX(Catalogo!$H$5:$H$86,MATCH($C489,Catalogo!$A$5:$A$86,0))="","",INDEX(Catalogo!$H$5:$H$86,MATCH($C489,Catalogo!$A$5:$A$86,0))),""))</x:f>
      </x:c>
      <x:c r="M489" s="176" t="str">
        <x:f>IF(OR($B489="",$L489=""),"",IFERROR(IF(INDEX(Obras!$H$5:$H$19,MATCH($B489,Obras!$A$5:$A$19,0))="","",IF(INDEX(Obras!$H$5:$H$19,MATCH($B489,Obras!$A$5:$A$19,0))&gt;$L489,"VENCIDA",IF($L489-INDEX(Obras!$H$5:$H$19,MATCH($B489,Obras!$A$5:$A$19,0))&lt;=0.5,"VENCE EM ATÉ 6 MESES","VIGENTE"))),""))</x:f>
      </x:c>
      <x:c r="N489" s="268"/>
    </x:row>
    <x:row r="490" ht="30" customHeight="1">
      <x:c r="A490" s="176" t="str">
        <x:f>IF(OR($B490="",$C490=""),"","LC-"&amp;TEXT(486,"0000"))</x:f>
      </x:c>
      <x:c r="B490" s="259"/>
      <x:c r="C490" s="259"/>
      <x:c r="D490" s="271" t="str">
        <x:f>IF($B490="","",IFERROR(IF(INDEX(Obras!$G$5:$G$19,MATCH($B490,Obras!$A$5:$A$19,0))="","",INDEX(Obras!$G$5:$G$19,MATCH($B490,Obras!$A$5:$A$19,0))),""))</x:f>
      </x:c>
      <x:c r="E490" s="259"/>
      <x:c r="F490" s="268"/>
      <x:c r="G490" s="259"/>
      <x:c r="H490" s="259"/>
      <x:c r="I490" s="259"/>
      <x:c r="J490" s="181" t="str">
        <x:f t="shared" si="14"/>
      </x:c>
      <x:c r="K490" s="176" t="str">
        <x:f t="shared" si="15"/>
      </x:c>
      <x:c r="L490" s="181" t="str">
        <x:f>IF($C490="","",IFERROR(IF(INDEX(Catalogo!$H$5:$H$86,MATCH($C490,Catalogo!$A$5:$A$86,0))="","",INDEX(Catalogo!$H$5:$H$86,MATCH($C490,Catalogo!$A$5:$A$86,0))),""))</x:f>
      </x:c>
      <x:c r="M490" s="176" t="str">
        <x:f>IF(OR($B490="",$L490=""),"",IFERROR(IF(INDEX(Obras!$H$5:$H$19,MATCH($B490,Obras!$A$5:$A$19,0))="","",IF(INDEX(Obras!$H$5:$H$19,MATCH($B490,Obras!$A$5:$A$19,0))&gt;$L490,"VENCIDA",IF($L490-INDEX(Obras!$H$5:$H$19,MATCH($B490,Obras!$A$5:$A$19,0))&lt;=0.5,"VENCE EM ATÉ 6 MESES","VIGENTE"))),""))</x:f>
      </x:c>
      <x:c r="N490" s="268"/>
    </x:row>
    <x:row r="491" ht="30" customHeight="1">
      <x:c r="A491" s="176" t="str">
        <x:f>IF(OR($B491="",$C491=""),"","LC-"&amp;TEXT(487,"0000"))</x:f>
      </x:c>
      <x:c r="B491" s="259"/>
      <x:c r="C491" s="259"/>
      <x:c r="D491" s="271" t="str">
        <x:f>IF($B491="","",IFERROR(IF(INDEX(Obras!$G$5:$G$19,MATCH($B491,Obras!$A$5:$A$19,0))="","",INDEX(Obras!$G$5:$G$19,MATCH($B491,Obras!$A$5:$A$19,0))),""))</x:f>
      </x:c>
      <x:c r="E491" s="259"/>
      <x:c r="F491" s="268"/>
      <x:c r="G491" s="259"/>
      <x:c r="H491" s="259"/>
      <x:c r="I491" s="259"/>
      <x:c r="J491" s="181" t="str">
        <x:f t="shared" si="14"/>
      </x:c>
      <x:c r="K491" s="176" t="str">
        <x:f t="shared" si="15"/>
      </x:c>
      <x:c r="L491" s="181" t="str">
        <x:f>IF($C491="","",IFERROR(IF(INDEX(Catalogo!$H$5:$H$86,MATCH($C491,Catalogo!$A$5:$A$86,0))="","",INDEX(Catalogo!$H$5:$H$86,MATCH($C491,Catalogo!$A$5:$A$86,0))),""))</x:f>
      </x:c>
      <x:c r="M491" s="176" t="str">
        <x:f>IF(OR($B491="",$L491=""),"",IFERROR(IF(INDEX(Obras!$H$5:$H$19,MATCH($B491,Obras!$A$5:$A$19,0))="","",IF(INDEX(Obras!$H$5:$H$19,MATCH($B491,Obras!$A$5:$A$19,0))&gt;$L491,"VENCIDA",IF($L491-INDEX(Obras!$H$5:$H$19,MATCH($B491,Obras!$A$5:$A$19,0))&lt;=0.5,"VENCE EM ATÉ 6 MESES","VIGENTE"))),""))</x:f>
      </x:c>
      <x:c r="N491" s="268"/>
    </x:row>
    <x:row r="492" ht="30" customHeight="1">
      <x:c r="A492" s="176" t="str">
        <x:f>IF(OR($B492="",$C492=""),"","LC-"&amp;TEXT(488,"0000"))</x:f>
      </x:c>
      <x:c r="B492" s="259"/>
      <x:c r="C492" s="259"/>
      <x:c r="D492" s="271" t="str">
        <x:f>IF($B492="","",IFERROR(IF(INDEX(Obras!$G$5:$G$19,MATCH($B492,Obras!$A$5:$A$19,0))="","",INDEX(Obras!$G$5:$G$19,MATCH($B492,Obras!$A$5:$A$19,0))),""))</x:f>
      </x:c>
      <x:c r="E492" s="259"/>
      <x:c r="F492" s="268"/>
      <x:c r="G492" s="259"/>
      <x:c r="H492" s="259"/>
      <x:c r="I492" s="259"/>
      <x:c r="J492" s="181" t="str">
        <x:f t="shared" si="14"/>
      </x:c>
      <x:c r="K492" s="176" t="str">
        <x:f t="shared" si="15"/>
      </x:c>
      <x:c r="L492" s="181" t="str">
        <x:f>IF($C492="","",IFERROR(IF(INDEX(Catalogo!$H$5:$H$86,MATCH($C492,Catalogo!$A$5:$A$86,0))="","",INDEX(Catalogo!$H$5:$H$86,MATCH($C492,Catalogo!$A$5:$A$86,0))),""))</x:f>
      </x:c>
      <x:c r="M492" s="176" t="str">
        <x:f>IF(OR($B492="",$L492=""),"",IFERROR(IF(INDEX(Obras!$H$5:$H$19,MATCH($B492,Obras!$A$5:$A$19,0))="","",IF(INDEX(Obras!$H$5:$H$19,MATCH($B492,Obras!$A$5:$A$19,0))&gt;$L492,"VENCIDA",IF($L492-INDEX(Obras!$H$5:$H$19,MATCH($B492,Obras!$A$5:$A$19,0))&lt;=0.5,"VENCE EM ATÉ 6 MESES","VIGENTE"))),""))</x:f>
      </x:c>
      <x:c r="N492" s="268"/>
    </x:row>
    <x:row r="493" ht="30" customHeight="1">
      <x:c r="A493" s="176" t="str">
        <x:f>IF(OR($B493="",$C493=""),"","LC-"&amp;TEXT(489,"0000"))</x:f>
      </x:c>
      <x:c r="B493" s="259"/>
      <x:c r="C493" s="259"/>
      <x:c r="D493" s="271" t="str">
        <x:f>IF($B493="","",IFERROR(IF(INDEX(Obras!$G$5:$G$19,MATCH($B493,Obras!$A$5:$A$19,0))="","",INDEX(Obras!$G$5:$G$19,MATCH($B493,Obras!$A$5:$A$19,0))),""))</x:f>
      </x:c>
      <x:c r="E493" s="259"/>
      <x:c r="F493" s="268"/>
      <x:c r="G493" s="259"/>
      <x:c r="H493" s="259"/>
      <x:c r="I493" s="259"/>
      <x:c r="J493" s="181" t="str">
        <x:f t="shared" si="14"/>
      </x:c>
      <x:c r="K493" s="176" t="str">
        <x:f t="shared" si="15"/>
      </x:c>
      <x:c r="L493" s="181" t="str">
        <x:f>IF($C493="","",IFERROR(IF(INDEX(Catalogo!$H$5:$H$86,MATCH($C493,Catalogo!$A$5:$A$86,0))="","",INDEX(Catalogo!$H$5:$H$86,MATCH($C493,Catalogo!$A$5:$A$86,0))),""))</x:f>
      </x:c>
      <x:c r="M493" s="176" t="str">
        <x:f>IF(OR($B493="",$L493=""),"",IFERROR(IF(INDEX(Obras!$H$5:$H$19,MATCH($B493,Obras!$A$5:$A$19,0))="","",IF(INDEX(Obras!$H$5:$H$19,MATCH($B493,Obras!$A$5:$A$19,0))&gt;$L493,"VENCIDA",IF($L493-INDEX(Obras!$H$5:$H$19,MATCH($B493,Obras!$A$5:$A$19,0))&lt;=0.5,"VENCE EM ATÉ 6 MESES","VIGENTE"))),""))</x:f>
      </x:c>
      <x:c r="N493" s="268"/>
    </x:row>
    <x:row r="494" ht="30" customHeight="1">
      <x:c r="A494" s="176" t="str">
        <x:f>IF(OR($B494="",$C494=""),"","LC-"&amp;TEXT(490,"0000"))</x:f>
      </x:c>
      <x:c r="B494" s="259"/>
      <x:c r="C494" s="259"/>
      <x:c r="D494" s="271" t="str">
        <x:f>IF($B494="","",IFERROR(IF(INDEX(Obras!$G$5:$G$19,MATCH($B494,Obras!$A$5:$A$19,0))="","",INDEX(Obras!$G$5:$G$19,MATCH($B494,Obras!$A$5:$A$19,0))),""))</x:f>
      </x:c>
      <x:c r="E494" s="259"/>
      <x:c r="F494" s="268"/>
      <x:c r="G494" s="259"/>
      <x:c r="H494" s="259"/>
      <x:c r="I494" s="259"/>
      <x:c r="J494" s="181" t="str">
        <x:f t="shared" si="14"/>
      </x:c>
      <x:c r="K494" s="176" t="str">
        <x:f t="shared" si="15"/>
      </x:c>
      <x:c r="L494" s="181" t="str">
        <x:f>IF($C494="","",IFERROR(IF(INDEX(Catalogo!$H$5:$H$86,MATCH($C494,Catalogo!$A$5:$A$86,0))="","",INDEX(Catalogo!$H$5:$H$86,MATCH($C494,Catalogo!$A$5:$A$86,0))),""))</x:f>
      </x:c>
      <x:c r="M494" s="176" t="str">
        <x:f>IF(OR($B494="",$L494=""),"",IFERROR(IF(INDEX(Obras!$H$5:$H$19,MATCH($B494,Obras!$A$5:$A$19,0))="","",IF(INDEX(Obras!$H$5:$H$19,MATCH($B494,Obras!$A$5:$A$19,0))&gt;$L494,"VENCIDA",IF($L494-INDEX(Obras!$H$5:$H$19,MATCH($B494,Obras!$A$5:$A$19,0))&lt;=0.5,"VENCE EM ATÉ 6 MESES","VIGENTE"))),""))</x:f>
      </x:c>
      <x:c r="N494" s="268"/>
    </x:row>
    <x:row r="495" ht="30" customHeight="1">
      <x:c r="A495" s="176" t="str">
        <x:f>IF(OR($B495="",$C495=""),"","LC-"&amp;TEXT(491,"0000"))</x:f>
      </x:c>
      <x:c r="B495" s="259"/>
      <x:c r="C495" s="259"/>
      <x:c r="D495" s="271" t="str">
        <x:f>IF($B495="","",IFERROR(IF(INDEX(Obras!$G$5:$G$19,MATCH($B495,Obras!$A$5:$A$19,0))="","",INDEX(Obras!$G$5:$G$19,MATCH($B495,Obras!$A$5:$A$19,0))),""))</x:f>
      </x:c>
      <x:c r="E495" s="259"/>
      <x:c r="F495" s="268"/>
      <x:c r="G495" s="259"/>
      <x:c r="H495" s="259"/>
      <x:c r="I495" s="259"/>
      <x:c r="J495" s="181" t="str">
        <x:f t="shared" si="14"/>
      </x:c>
      <x:c r="K495" s="176" t="str">
        <x:f t="shared" si="15"/>
      </x:c>
      <x:c r="L495" s="181" t="str">
        <x:f>IF($C495="","",IFERROR(IF(INDEX(Catalogo!$H$5:$H$86,MATCH($C495,Catalogo!$A$5:$A$86,0))="","",INDEX(Catalogo!$H$5:$H$86,MATCH($C495,Catalogo!$A$5:$A$86,0))),""))</x:f>
      </x:c>
      <x:c r="M495" s="176" t="str">
        <x:f>IF(OR($B495="",$L495=""),"",IFERROR(IF(INDEX(Obras!$H$5:$H$19,MATCH($B495,Obras!$A$5:$A$19,0))="","",IF(INDEX(Obras!$H$5:$H$19,MATCH($B495,Obras!$A$5:$A$19,0))&gt;$L495,"VENCIDA",IF($L495-INDEX(Obras!$H$5:$H$19,MATCH($B495,Obras!$A$5:$A$19,0))&lt;=0.5,"VENCE EM ATÉ 6 MESES","VIGENTE"))),""))</x:f>
      </x:c>
      <x:c r="N495" s="268"/>
    </x:row>
    <x:row r="496" ht="30" customHeight="1">
      <x:c r="A496" s="176" t="str">
        <x:f>IF(OR($B496="",$C496=""),"","LC-"&amp;TEXT(492,"0000"))</x:f>
      </x:c>
      <x:c r="B496" s="259"/>
      <x:c r="C496" s="259"/>
      <x:c r="D496" s="271" t="str">
        <x:f>IF($B496="","",IFERROR(IF(INDEX(Obras!$G$5:$G$19,MATCH($B496,Obras!$A$5:$A$19,0))="","",INDEX(Obras!$G$5:$G$19,MATCH($B496,Obras!$A$5:$A$19,0))),""))</x:f>
      </x:c>
      <x:c r="E496" s="259"/>
      <x:c r="F496" s="268"/>
      <x:c r="G496" s="259"/>
      <x:c r="H496" s="259"/>
      <x:c r="I496" s="259"/>
      <x:c r="J496" s="181" t="str">
        <x:f t="shared" si="14"/>
      </x:c>
      <x:c r="K496" s="176" t="str">
        <x:f t="shared" si="15"/>
      </x:c>
      <x:c r="L496" s="181" t="str">
        <x:f>IF($C496="","",IFERROR(IF(INDEX(Catalogo!$H$5:$H$86,MATCH($C496,Catalogo!$A$5:$A$86,0))="","",INDEX(Catalogo!$H$5:$H$86,MATCH($C496,Catalogo!$A$5:$A$86,0))),""))</x:f>
      </x:c>
      <x:c r="M496" s="176" t="str">
        <x:f>IF(OR($B496="",$L496=""),"",IFERROR(IF(INDEX(Obras!$H$5:$H$19,MATCH($B496,Obras!$A$5:$A$19,0))="","",IF(INDEX(Obras!$H$5:$H$19,MATCH($B496,Obras!$A$5:$A$19,0))&gt;$L496,"VENCIDA",IF($L496-INDEX(Obras!$H$5:$H$19,MATCH($B496,Obras!$A$5:$A$19,0))&lt;=0.5,"VENCE EM ATÉ 6 MESES","VIGENTE"))),""))</x:f>
      </x:c>
      <x:c r="N496" s="268"/>
    </x:row>
    <x:row r="497" ht="30" customHeight="1">
      <x:c r="A497" s="176" t="str">
        <x:f>IF(OR($B497="",$C497=""),"","LC-"&amp;TEXT(493,"0000"))</x:f>
      </x:c>
      <x:c r="B497" s="259"/>
      <x:c r="C497" s="259"/>
      <x:c r="D497" s="271" t="str">
        <x:f>IF($B497="","",IFERROR(IF(INDEX(Obras!$G$5:$G$19,MATCH($B497,Obras!$A$5:$A$19,0))="","",INDEX(Obras!$G$5:$G$19,MATCH($B497,Obras!$A$5:$A$19,0))),""))</x:f>
      </x:c>
      <x:c r="E497" s="259"/>
      <x:c r="F497" s="268"/>
      <x:c r="G497" s="259"/>
      <x:c r="H497" s="259"/>
      <x:c r="I497" s="259"/>
      <x:c r="J497" s="181" t="str">
        <x:f t="shared" si="14"/>
      </x:c>
      <x:c r="K497" s="176" t="str">
        <x:f t="shared" si="15"/>
      </x:c>
      <x:c r="L497" s="181" t="str">
        <x:f>IF($C497="","",IFERROR(IF(INDEX(Catalogo!$H$5:$H$86,MATCH($C497,Catalogo!$A$5:$A$86,0))="","",INDEX(Catalogo!$H$5:$H$86,MATCH($C497,Catalogo!$A$5:$A$86,0))),""))</x:f>
      </x:c>
      <x:c r="M497" s="176" t="str">
        <x:f>IF(OR($B497="",$L497=""),"",IFERROR(IF(INDEX(Obras!$H$5:$H$19,MATCH($B497,Obras!$A$5:$A$19,0))="","",IF(INDEX(Obras!$H$5:$H$19,MATCH($B497,Obras!$A$5:$A$19,0))&gt;$L497,"VENCIDA",IF($L497-INDEX(Obras!$H$5:$H$19,MATCH($B497,Obras!$A$5:$A$19,0))&lt;=0.5,"VENCE EM ATÉ 6 MESES","VIGENTE"))),""))</x:f>
      </x:c>
      <x:c r="N497" s="268"/>
    </x:row>
    <x:row r="498" ht="30" customHeight="1">
      <x:c r="A498" s="176" t="str">
        <x:f>IF(OR($B498="",$C498=""),"","LC-"&amp;TEXT(494,"0000"))</x:f>
      </x:c>
      <x:c r="B498" s="259"/>
      <x:c r="C498" s="259"/>
      <x:c r="D498" s="271" t="str">
        <x:f>IF($B498="","",IFERROR(IF(INDEX(Obras!$G$5:$G$19,MATCH($B498,Obras!$A$5:$A$19,0))="","",INDEX(Obras!$G$5:$G$19,MATCH($B498,Obras!$A$5:$A$19,0))),""))</x:f>
      </x:c>
      <x:c r="E498" s="259"/>
      <x:c r="F498" s="268"/>
      <x:c r="G498" s="259"/>
      <x:c r="H498" s="259"/>
      <x:c r="I498" s="259"/>
      <x:c r="J498" s="181" t="str">
        <x:f t="shared" si="14"/>
      </x:c>
      <x:c r="K498" s="176" t="str">
        <x:f t="shared" si="15"/>
      </x:c>
      <x:c r="L498" s="181" t="str">
        <x:f>IF($C498="","",IFERROR(IF(INDEX(Catalogo!$H$5:$H$86,MATCH($C498,Catalogo!$A$5:$A$86,0))="","",INDEX(Catalogo!$H$5:$H$86,MATCH($C498,Catalogo!$A$5:$A$86,0))),""))</x:f>
      </x:c>
      <x:c r="M498" s="176" t="str">
        <x:f>IF(OR($B498="",$L498=""),"",IFERROR(IF(INDEX(Obras!$H$5:$H$19,MATCH($B498,Obras!$A$5:$A$19,0))="","",IF(INDEX(Obras!$H$5:$H$19,MATCH($B498,Obras!$A$5:$A$19,0))&gt;$L498,"VENCIDA",IF($L498-INDEX(Obras!$H$5:$H$19,MATCH($B498,Obras!$A$5:$A$19,0))&lt;=0.5,"VENCE EM ATÉ 6 MESES","VIGENTE"))),""))</x:f>
      </x:c>
      <x:c r="N498" s="268"/>
    </x:row>
    <x:row r="499" ht="30" customHeight="1">
      <x:c r="A499" s="176" t="str">
        <x:f>IF(OR($B499="",$C499=""),"","LC-"&amp;TEXT(495,"0000"))</x:f>
      </x:c>
      <x:c r="B499" s="259"/>
      <x:c r="C499" s="259"/>
      <x:c r="D499" s="271" t="str">
        <x:f>IF($B499="","",IFERROR(IF(INDEX(Obras!$G$5:$G$19,MATCH($B499,Obras!$A$5:$A$19,0))="","",INDEX(Obras!$G$5:$G$19,MATCH($B499,Obras!$A$5:$A$19,0))),""))</x:f>
      </x:c>
      <x:c r="E499" s="259"/>
      <x:c r="F499" s="268"/>
      <x:c r="G499" s="259"/>
      <x:c r="H499" s="259"/>
      <x:c r="I499" s="259"/>
      <x:c r="J499" s="181" t="str">
        <x:f t="shared" si="14"/>
      </x:c>
      <x:c r="K499" s="176" t="str">
        <x:f t="shared" si="15"/>
      </x:c>
      <x:c r="L499" s="181" t="str">
        <x:f>IF($C499="","",IFERROR(IF(INDEX(Catalogo!$H$5:$H$86,MATCH($C499,Catalogo!$A$5:$A$86,0))="","",INDEX(Catalogo!$H$5:$H$86,MATCH($C499,Catalogo!$A$5:$A$86,0))),""))</x:f>
      </x:c>
      <x:c r="M499" s="176" t="str">
        <x:f>IF(OR($B499="",$L499=""),"",IFERROR(IF(INDEX(Obras!$H$5:$H$19,MATCH($B499,Obras!$A$5:$A$19,0))="","",IF(INDEX(Obras!$H$5:$H$19,MATCH($B499,Obras!$A$5:$A$19,0))&gt;$L499,"VENCIDA",IF($L499-INDEX(Obras!$H$5:$H$19,MATCH($B499,Obras!$A$5:$A$19,0))&lt;=0.5,"VENCE EM ATÉ 6 MESES","VIGENTE"))),""))</x:f>
      </x:c>
      <x:c r="N499" s="268"/>
    </x:row>
    <x:row r="500" ht="30" customHeight="1">
      <x:c r="A500" s="176" t="str">
        <x:f>IF(OR($B500="",$C500=""),"","LC-"&amp;TEXT(496,"0000"))</x:f>
      </x:c>
      <x:c r="B500" s="259"/>
      <x:c r="C500" s="259"/>
      <x:c r="D500" s="271" t="str">
        <x:f>IF($B500="","",IFERROR(IF(INDEX(Obras!$G$5:$G$19,MATCH($B500,Obras!$A$5:$A$19,0))="","",INDEX(Obras!$G$5:$G$19,MATCH($B500,Obras!$A$5:$A$19,0))),""))</x:f>
      </x:c>
      <x:c r="E500" s="259"/>
      <x:c r="F500" s="268"/>
      <x:c r="G500" s="259"/>
      <x:c r="H500" s="259"/>
      <x:c r="I500" s="259"/>
      <x:c r="J500" s="181" t="str">
        <x:f t="shared" si="14"/>
      </x:c>
      <x:c r="K500" s="176" t="str">
        <x:f t="shared" si="15"/>
      </x:c>
      <x:c r="L500" s="181" t="str">
        <x:f>IF($C500="","",IFERROR(IF(INDEX(Catalogo!$H$5:$H$86,MATCH($C500,Catalogo!$A$5:$A$86,0))="","",INDEX(Catalogo!$H$5:$H$86,MATCH($C500,Catalogo!$A$5:$A$86,0))),""))</x:f>
      </x:c>
      <x:c r="M500" s="176" t="str">
        <x:f>IF(OR($B500="",$L500=""),"",IFERROR(IF(INDEX(Obras!$H$5:$H$19,MATCH($B500,Obras!$A$5:$A$19,0))="","",IF(INDEX(Obras!$H$5:$H$19,MATCH($B500,Obras!$A$5:$A$19,0))&gt;$L500,"VENCIDA",IF($L500-INDEX(Obras!$H$5:$H$19,MATCH($B500,Obras!$A$5:$A$19,0))&lt;=0.5,"VENCE EM ATÉ 6 MESES","VIGENTE"))),""))</x:f>
      </x:c>
      <x:c r="N500" s="268"/>
    </x:row>
    <x:row r="501" ht="30" customHeight="1">
      <x:c r="A501" s="176" t="str">
        <x:f>IF(OR($B501="",$C501=""),"","LC-"&amp;TEXT(497,"0000"))</x:f>
      </x:c>
      <x:c r="B501" s="259"/>
      <x:c r="C501" s="259"/>
      <x:c r="D501" s="271" t="str">
        <x:f>IF($B501="","",IFERROR(IF(INDEX(Obras!$G$5:$G$19,MATCH($B501,Obras!$A$5:$A$19,0))="","",INDEX(Obras!$G$5:$G$19,MATCH($B501,Obras!$A$5:$A$19,0))),""))</x:f>
      </x:c>
      <x:c r="E501" s="259"/>
      <x:c r="F501" s="268"/>
      <x:c r="G501" s="259"/>
      <x:c r="H501" s="259"/>
      <x:c r="I501" s="259"/>
      <x:c r="J501" s="181" t="str">
        <x:f t="shared" si="14"/>
      </x:c>
      <x:c r="K501" s="176" t="str">
        <x:f t="shared" si="15"/>
      </x:c>
      <x:c r="L501" s="181" t="str">
        <x:f>IF($C501="","",IFERROR(IF(INDEX(Catalogo!$H$5:$H$86,MATCH($C501,Catalogo!$A$5:$A$86,0))="","",INDEX(Catalogo!$H$5:$H$86,MATCH($C501,Catalogo!$A$5:$A$86,0))),""))</x:f>
      </x:c>
      <x:c r="M501" s="176" t="str">
        <x:f>IF(OR($B501="",$L501=""),"",IFERROR(IF(INDEX(Obras!$H$5:$H$19,MATCH($B501,Obras!$A$5:$A$19,0))="","",IF(INDEX(Obras!$H$5:$H$19,MATCH($B501,Obras!$A$5:$A$19,0))&gt;$L501,"VENCIDA",IF($L501-INDEX(Obras!$H$5:$H$19,MATCH($B501,Obras!$A$5:$A$19,0))&lt;=0.5,"VENCE EM ATÉ 6 MESES","VIGENTE"))),""))</x:f>
      </x:c>
      <x:c r="N501" s="268"/>
    </x:row>
    <x:row r="502" ht="30" customHeight="1">
      <x:c r="A502" s="176" t="str">
        <x:f>IF(OR($B502="",$C502=""),"","LC-"&amp;TEXT(498,"0000"))</x:f>
      </x:c>
      <x:c r="B502" s="259"/>
      <x:c r="C502" s="259"/>
      <x:c r="D502" s="271" t="str">
        <x:f>IF($B502="","",IFERROR(IF(INDEX(Obras!$G$5:$G$19,MATCH($B502,Obras!$A$5:$A$19,0))="","",INDEX(Obras!$G$5:$G$19,MATCH($B502,Obras!$A$5:$A$19,0))),""))</x:f>
      </x:c>
      <x:c r="E502" s="259"/>
      <x:c r="F502" s="268"/>
      <x:c r="G502" s="259"/>
      <x:c r="H502" s="259"/>
      <x:c r="I502" s="259"/>
      <x:c r="J502" s="181" t="str">
        <x:f t="shared" si="14"/>
      </x:c>
      <x:c r="K502" s="176" t="str">
        <x:f t="shared" si="15"/>
      </x:c>
      <x:c r="L502" s="181" t="str">
        <x:f>IF($C502="","",IFERROR(IF(INDEX(Catalogo!$H$5:$H$86,MATCH($C502,Catalogo!$A$5:$A$86,0))="","",INDEX(Catalogo!$H$5:$H$86,MATCH($C502,Catalogo!$A$5:$A$86,0))),""))</x:f>
      </x:c>
      <x:c r="M502" s="176" t="str">
        <x:f>IF(OR($B502="",$L502=""),"",IFERROR(IF(INDEX(Obras!$H$5:$H$19,MATCH($B502,Obras!$A$5:$A$19,0))="","",IF(INDEX(Obras!$H$5:$H$19,MATCH($B502,Obras!$A$5:$A$19,0))&gt;$L502,"VENCIDA",IF($L502-INDEX(Obras!$H$5:$H$19,MATCH($B502,Obras!$A$5:$A$19,0))&lt;=0.5,"VENCE EM ATÉ 6 MESES","VIGENTE"))),""))</x:f>
      </x:c>
      <x:c r="N502" s="268"/>
    </x:row>
    <x:row r="503" ht="30" customHeight="1">
      <x:c r="A503" s="176" t="str">
        <x:f>IF(OR($B503="",$C503=""),"","LC-"&amp;TEXT(499,"0000"))</x:f>
      </x:c>
      <x:c r="B503" s="259"/>
      <x:c r="C503" s="259"/>
      <x:c r="D503" s="271" t="str">
        <x:f>IF($B503="","",IFERROR(IF(INDEX(Obras!$G$5:$G$19,MATCH($B503,Obras!$A$5:$A$19,0))="","",INDEX(Obras!$G$5:$G$19,MATCH($B503,Obras!$A$5:$A$19,0))),""))</x:f>
      </x:c>
      <x:c r="E503" s="259"/>
      <x:c r="F503" s="268"/>
      <x:c r="G503" s="259"/>
      <x:c r="H503" s="259"/>
      <x:c r="I503" s="259"/>
      <x:c r="J503" s="181" t="str">
        <x:f t="shared" si="14"/>
      </x:c>
      <x:c r="K503" s="176" t="str">
        <x:f t="shared" si="15"/>
      </x:c>
      <x:c r="L503" s="181" t="str">
        <x:f>IF($C503="","",IFERROR(IF(INDEX(Catalogo!$H$5:$H$86,MATCH($C503,Catalogo!$A$5:$A$86,0))="","",INDEX(Catalogo!$H$5:$H$86,MATCH($C503,Catalogo!$A$5:$A$86,0))),""))</x:f>
      </x:c>
      <x:c r="M503" s="176" t="str">
        <x:f>IF(OR($B503="",$L503=""),"",IFERROR(IF(INDEX(Obras!$H$5:$H$19,MATCH($B503,Obras!$A$5:$A$19,0))="","",IF(INDEX(Obras!$H$5:$H$19,MATCH($B503,Obras!$A$5:$A$19,0))&gt;$L503,"VENCIDA",IF($L503-INDEX(Obras!$H$5:$H$19,MATCH($B503,Obras!$A$5:$A$19,0))&lt;=0.5,"VENCE EM ATÉ 6 MESES","VIGENTE"))),""))</x:f>
      </x:c>
      <x:c r="N503" s="268"/>
    </x:row>
    <x:row r="504" ht="30" customHeight="1">
      <x:c r="A504" s="176" t="str">
        <x:f>IF(OR($B504="",$C504=""),"","LC-"&amp;TEXT(500,"0000"))</x:f>
      </x:c>
      <x:c r="B504" s="259"/>
      <x:c r="C504" s="259"/>
      <x:c r="D504" s="271" t="str">
        <x:f>IF($B504="","",IFERROR(IF(INDEX(Obras!$G$5:$G$19,MATCH($B504,Obras!$A$5:$A$19,0))="","",INDEX(Obras!$G$5:$G$19,MATCH($B504,Obras!$A$5:$A$19,0))),""))</x:f>
      </x:c>
      <x:c r="E504" s="259"/>
      <x:c r="F504" s="268"/>
      <x:c r="G504" s="259"/>
      <x:c r="H504" s="259"/>
      <x:c r="I504" s="259"/>
      <x:c r="J504" s="181" t="str">
        <x:f t="shared" si="14"/>
      </x:c>
      <x:c r="K504" s="176" t="str">
        <x:f t="shared" si="15"/>
      </x:c>
      <x:c r="L504" s="181" t="str">
        <x:f>IF($C504="","",IFERROR(IF(INDEX(Catalogo!$H$5:$H$86,MATCH($C504,Catalogo!$A$5:$A$86,0))="","",INDEX(Catalogo!$H$5:$H$86,MATCH($C504,Catalogo!$A$5:$A$86,0))),""))</x:f>
      </x:c>
      <x:c r="M504" s="176" t="str">
        <x:f>IF(OR($B504="",$L504=""),"",IFERROR(IF(INDEX(Obras!$H$5:$H$19,MATCH($B504,Obras!$A$5:$A$19,0))="","",IF(INDEX(Obras!$H$5:$H$19,MATCH($B504,Obras!$A$5:$A$19,0))&gt;$L504,"VENCIDA",IF($L504-INDEX(Obras!$H$5:$H$19,MATCH($B504,Obras!$A$5:$A$19,0))&lt;=0.5,"VENCE EM ATÉ 6 MESES","VIGENTE"))),""))</x:f>
      </x:c>
      <x:c r="N504" s="268"/>
    </x:row>
  </x:sheetData>
  <x:mergeCells>
    <x:mergeCell ref="A2:N2"/>
    <x:mergeCell ref="A1:N1"/>
  </x:mergeCells>
  <x:conditionalFormatting sqref="K5:K504">
    <x:cfRule type="expression" dxfId="6" priority="4">
      <x:formula>K5="Prioridade 1"</x:formula>
    </x:cfRule>
    <x:cfRule type="expression" dxfId="7" priority="5">
      <x:formula>K5="Prioridade 2"</x:formula>
    </x:cfRule>
    <x:cfRule type="expression" dxfId="8" priority="6">
      <x:formula>K5="Prioridade 3"</x:formula>
    </x:cfRule>
  </x:conditionalFormatting>
  <x:conditionalFormatting sqref="M5:M504">
    <x:cfRule type="expression" dxfId="9" priority="7">
      <x:formula>M5="VIGENTE"</x:formula>
    </x:cfRule>
    <x:cfRule type="expression" dxfId="10" priority="8">
      <x:formula>M5="VENCE EM ATÉ 6 MESES"</x:formula>
    </x:cfRule>
    <x:cfRule type="expression" dxfId="11" priority="9">
      <x:formula>M5="VENCIDA"</x:formula>
    </x:cfRule>
  </x:conditionalFormatting>
  <x:dataValidations count="7">
    <x:dataValidation type="list" allowBlank="1" sqref="B5:B504">
      <x:formula1>ListaObras</x:formula1>
    </x:dataValidation>
    <x:dataValidation type="list" allowBlank="1" sqref="C5:C504">
      <x:formula1>ListaItens</x:formula1>
    </x:dataValidation>
    <x:dataValidation type="list" allowBlank="1" sqref="E5:E504">
      <x:formula1>"Sim,Não"</x:formula1>
    </x:dataValidation>
    <x:dataValidation type="list" allowBlank="1" sqref="G5:I504">
      <x:formula1>"10,8,6,3,1"</x:formula1>
    </x:dataValidation>
    <x:dataValidation type="list" sqref="G5:G504">
      <x:formula1>"10,8,6,3,1"</x:formula1>
    </x:dataValidation>
    <x:dataValidation type="list" sqref="H5:H504">
      <x:formula1>"10,8,6,3,1"</x:formula1>
    </x:dataValidation>
    <x:dataValidation type="list" sqref="I5:I504">
      <x:formula1>"10,8,6,3,1"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9" width="9" customWidth="1"/>
    <x:col min="10" max="10" width="12" hidden="0" customWidth="1"/>
    <x:col min="11" max="11" width="17" hidden="0" customWidth="1"/>
    <x:col min="12" max="12" width="12" hidden="0" customWidth="1"/>
    <x:col min="13" max="13" width="12" hidden="0" customWidth="1"/>
    <x:col min="14" max="14" width="16" hidden="0" customWidth="1"/>
    <x:col min="7" max="7" width="12" hidden="0" customWidth="1"/>
    <x:col min="8" max="8" width="12" hidden="0" customWidth="1"/>
    <x:col min="9" max="9" width="12" hidden="0" customWidth="1"/>
    <x:col min="16" max="16" width="18" hidden="0" customWidth="1"/>
    <x:col min="17" max="17" width="20" hidden="0" customWidth="1"/>
  </x:cols>
  <x:sheetData>
    <x:row r="1" ht="20.25" customHeight="1">
      <x:c r="A1" s="148" t="s">
        <x:v>416</x:v>
      </x:c>
      <x:c r="B1" s="293"/>
      <x:c r="C1" s="293"/>
      <x:c r="D1" s="293"/>
      <x:c r="E1" s="293"/>
      <x:c r="F1" s="293"/>
      <x:c r="G1" s="293"/>
      <x:c r="H1" s="293"/>
      <x:c r="I1" s="293"/>
      <x:c r="J1" s="293"/>
      <x:c r="K1" s="293"/>
      <x:c r="L1" s="293"/>
      <x:c r="M1" s="293"/>
      <x:c r="N1" s="293"/>
      <x:c r="O1" s="158"/>
      <x:c r="P1" s="293"/>
      <x:c r="Q1" s="293"/>
      <x:c r="R1" s="293"/>
      <x:c r="S1" s="293"/>
      <x:c r="T1" s="293"/>
      <x:c r="U1" s="293"/>
      <x:c r="V1" s="293"/>
      <x:c r="W1" s="293"/>
      <x:c r="X1" s="158"/>
      <x:c r="Y1" s="158"/>
      <x:c r="Z1" s="158"/>
    </x:row>
    <x:row r="2" ht="31.899999618530273" customHeight="1">
      <x:c r="A2" s="154" t="s">
        <x:v>417</x:v>
      </x:c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159"/>
      <x:c r="P2" s="475" t="str">
        <x:v>Prioridade</x:v>
      </x:c>
      <x:c r="Q2" s="475" t="str">
        <x:v>Quantidade</x:v>
      </x:c>
      <x:c r="R2" s="294"/>
      <x:c r="S2" s="294"/>
      <x:c r="T2" s="294"/>
      <x:c r="U2" s="294"/>
      <x:c r="V2" s="294"/>
      <x:c r="W2" s="294"/>
      <x:c r="X2" s="159"/>
      <x:c r="Y2" s="159"/>
      <x:c r="Z2" s="159"/>
    </x:row>
    <x:row r="3">
      <x:c r="A3" s="295"/>
      <x:c r="B3" s="295"/>
      <x:c r="C3" s="295"/>
      <x:c r="D3" s="295"/>
      <x:c r="E3" s="295"/>
      <x:c r="F3" s="295"/>
      <x:c r="G3" s="295"/>
      <x:c r="H3" s="295"/>
      <x:c r="I3" s="295"/>
      <x:c r="J3" s="295"/>
      <x:c r="K3" s="295"/>
      <x:c r="L3" s="295"/>
      <x:c r="M3" s="295"/>
      <x:c r="N3" s="295"/>
      <x:c r="O3" s="160"/>
      <x:c r="P3" s="295" t="str">
        <x:v>Prioridade 1</x:v>
      </x:c>
      <x:c r="Q3" s="295" t="n">
        <x:f>D29</x:f>
        <x:v>0</x:v>
      </x:c>
      <x:c r="R3" s="295"/>
      <x:c r="S3" s="295"/>
      <x:c r="T3" s="295"/>
      <x:c r="U3" s="295"/>
      <x:c r="V3" s="295"/>
      <x:c r="W3" s="295"/>
      <x:c r="X3" s="160"/>
      <x:c r="Y3" s="160"/>
      <x:c r="Z3" s="160"/>
    </x:row>
    <x:row r="4" ht="18" customHeight="1">
      <x:c r="A4" s="275" t="s">
        <x:v>418</x:v>
      </x:c>
      <x:c r="B4" s="296"/>
      <x:c r="C4" s="296"/>
      <x:c r="D4" s="296"/>
      <x:c r="E4" s="296"/>
      <x:c r="F4" s="296"/>
      <x:c r="G4" s="296"/>
      <x:c r="H4" s="296"/>
      <x:c r="I4" s="296"/>
      <x:c r="J4" s="296"/>
      <x:c r="K4" s="296"/>
      <x:c r="L4" s="296"/>
      <x:c r="M4" s="296"/>
      <x:c r="N4" s="296"/>
      <x:c r="O4" s="160"/>
      <x:c r="P4" s="295" t="str">
        <x:v>Prioridade 2</x:v>
      </x:c>
      <x:c r="Q4" s="295" t="n">
        <x:f>D30</x:f>
        <x:v>0</x:v>
      </x:c>
      <x:c r="R4" s="295"/>
      <x:c r="S4" s="295"/>
      <x:c r="T4" s="295"/>
      <x:c r="U4" s="295"/>
      <x:c r="V4" s="295"/>
      <x:c r="W4" s="295"/>
      <x:c r="X4" s="160"/>
      <x:c r="Y4" s="160"/>
      <x:c r="Z4" s="160"/>
    </x:row>
    <x:row r="5" ht="32.099998474121094" customHeight="1">
      <x:c r="A5" s="252" t="s">
        <x:v>2</x:v>
      </x:c>
      <x:c r="B5" s="252" t="s">
        <x:v>3</x:v>
      </x:c>
      <x:c r="C5" s="252" t="s">
        <x:v>419</x:v>
      </x:c>
      <x:c r="D5" s="252" t="s">
        <x:v>420</x:v>
      </x:c>
      <x:c r="E5" s="252" t="s">
        <x:v>421</x:v>
      </x:c>
      <x:c r="F5" s="252" t="s">
        <x:v>422</x:v>
      </x:c>
      <x:c r="G5" s="252" t="s">
        <x:v>423</x:v>
      </x:c>
      <x:c r="H5" s="252" t="s">
        <x:v>424</x:v>
      </x:c>
      <x:c r="I5" s="252" t="s">
        <x:v>425</x:v>
      </x:c>
      <x:c r="J5" s="252" t="s">
        <x:v>426</x:v>
      </x:c>
      <x:c r="K5" s="252" t="s">
        <x:v>427</x:v>
      </x:c>
      <x:c r="L5" s="252" t="s">
        <x:v>428</x:v>
      </x:c>
      <x:c r="M5" s="252" t="s">
        <x:v>429</x:v>
      </x:c>
      <x:c r="N5" s="252" t="s">
        <x:v>430</x:v>
      </x:c>
      <x:c r="O5" s="160"/>
      <x:c r="P5" s="295" t="str">
        <x:v>Prioridade 3</x:v>
      </x:c>
      <x:c r="Q5" s="295" t="n">
        <x:f>D31</x:f>
        <x:v>0</x:v>
      </x:c>
      <x:c r="R5" s="295"/>
      <x:c r="S5" s="295"/>
      <x:c r="T5" s="295"/>
      <x:c r="U5" s="295"/>
      <x:c r="V5" s="295"/>
      <x:c r="W5" s="295"/>
      <x:c r="X5" s="160"/>
      <x:c r="Y5" s="160"/>
      <x:c r="Z5" s="160"/>
    </x:row>
    <x:row r="6" ht="18" customHeight="1">
      <x:c r="A6" s="162" t="str">
        <x:f>Obras!$A5</x:f>
        <x:v>UN-01</x:v>
      </x:c>
      <x:c r="B6" s="165" t="str">
        <x:f>IF(Obras!$B5="","",Obras!$B5)</x:f>
      </x:c>
      <x:c r="C6" s="165" t="str">
        <x:f>IF(Obras!$F5="","",Obras!$F5)</x:f>
      </x:c>
      <x:c r="D6" s="166" t="str">
        <x:f>IF(Obras!$H5="","",Obras!$H5)</x:f>
      </x:c>
      <x:c r="E6" s="181" t="n">
        <x:f>COUNTIF(Lancamentos!$B$5:$B$504,$A6)</x:f>
        <x:v>0</x:v>
      </x:c>
      <x:c r="F6" s="181" t="n">
        <x:f>COUNTIFS(Lancamentos!$B$5:$B$504,$A6,Lancamentos!$E$5:$E$504,"Sim")</x:f>
        <x:v>0</x:v>
      </x:c>
      <x:c r="G6" s="181" t="n">
        <x:f>COUNTIFS(Lancamentos!$B$5:$B$504,$A6,Lancamentos!$E$5:$E$504,"Sim",Lancamentos!$K$5:$K$504,"Prioridade 1")</x:f>
        <x:v>0</x:v>
      </x:c>
      <x:c r="H6" s="181" t="n">
        <x:f>COUNTIFS(Lancamentos!$B$5:$B$504,$A6,Lancamentos!$E$5:$E$504,"Sim",Lancamentos!$K$5:$K$504,"Prioridade 2")</x:f>
        <x:v>0</x:v>
      </x:c>
      <x:c r="I6" s="181" t="n">
        <x:f>COUNTIFS(Lancamentos!$B$5:$B$504,$A6,Lancamentos!$E$5:$E$504,"Sim",Lancamentos!$K$5:$K$504,"Prioridade 3")</x:f>
        <x:v>0</x:v>
      </x:c>
      <x:c r="J6" s="181" t="n">
        <x:f>COUNTIFS(Lancamentos!$B$5:$B$504,$A6,Lancamentos!$E$5:$E$504,"Sim",Lancamentos!$M$5:$M$504,"VIGENTE")</x:f>
        <x:v>0</x:v>
      </x:c>
      <x:c r="K6" s="181" t="n">
        <x:f>COUNTIFS(Lancamentos!$B$5:$B$504,$A6,Lancamentos!$E$5:$E$504,"Sim",Lancamentos!$M$5:$M$504,"VENCE EM ATÉ 6 MESES")</x:f>
        <x:v>0</x:v>
      </x:c>
      <x:c r="L6" s="181" t="n">
        <x:f>COUNTIFS(Lancamentos!$B$5:$B$504,$A6,Lancamentos!$E$5:$E$504,"Sim",Lancamentos!$M$5:$M$504,"VENCIDA")</x:f>
        <x:v>0</x:v>
      </x:c>
      <x:c r="M6" s="181" t="n">
        <x:f>COUNTIFS(Lancamentos!$B$5:$B$504,$A6,Lancamentos!$E$5:$E$504,"Sim",Lancamentos!$L$5:$L$504,"")</x:f>
        <x:v>0</x:v>
      </x:c>
      <x:c r="N6" s="181" t="n">
        <x:f>COUNTIFS(Lancamentos!$B$5:$B$504,$A6,Lancamentos!$E$5:$E$504,"Sim",Lancamentos!$K$5:$K$504,"Prioridade 1",Lancamentos!$M$5:$M$504,"VENCIDA")</x:f>
        <x:v>0</x:v>
      </x:c>
      <x:c r="O6" s="160"/>
      <x:c r="P6" s="295"/>
      <x:c r="Q6" s="295"/>
      <x:c r="R6" s="295"/>
      <x:c r="S6" s="295"/>
      <x:c r="T6" s="295"/>
      <x:c r="U6" s="295"/>
      <x:c r="V6" s="295"/>
      <x:c r="W6" s="295"/>
      <x:c r="X6" s="160"/>
      <x:c r="Y6" s="160"/>
      <x:c r="Z6" s="160"/>
    </x:row>
    <x:row r="7" ht="18" customHeight="1">
      <x:c r="A7" s="162" t="str">
        <x:f>Obras!$A6</x:f>
        <x:v>UN-02</x:v>
      </x:c>
      <x:c r="B7" s="165" t="str">
        <x:f>IF(Obras!$B6="","",Obras!$B6)</x:f>
      </x:c>
      <x:c r="C7" s="165" t="str">
        <x:f>IF(Obras!$F6="","",Obras!$F6)</x:f>
      </x:c>
      <x:c r="D7" s="166" t="str">
        <x:f>IF(Obras!$H6="","",Obras!$H6)</x:f>
      </x:c>
      <x:c r="E7" s="181" t="n">
        <x:f>COUNTIF(Lancamentos!$B$5:$B$504,$A7)</x:f>
        <x:v>0</x:v>
      </x:c>
      <x:c r="F7" s="181" t="n">
        <x:f>COUNTIFS(Lancamentos!$B$5:$B$504,$A7,Lancamentos!$E$5:$E$504,"Sim")</x:f>
        <x:v>0</x:v>
      </x:c>
      <x:c r="G7" s="181" t="n">
        <x:f>COUNTIFS(Lancamentos!$B$5:$B$504,$A7,Lancamentos!$E$5:$E$504,"Sim",Lancamentos!$K$5:$K$504,"Prioridade 1")</x:f>
        <x:v>0</x:v>
      </x:c>
      <x:c r="H7" s="181" t="n">
        <x:f>COUNTIFS(Lancamentos!$B$5:$B$504,$A7,Lancamentos!$E$5:$E$504,"Sim",Lancamentos!$K$5:$K$504,"Prioridade 2")</x:f>
        <x:v>0</x:v>
      </x:c>
      <x:c r="I7" s="181" t="n">
        <x:f>COUNTIFS(Lancamentos!$B$5:$B$504,$A7,Lancamentos!$E$5:$E$504,"Sim",Lancamentos!$K$5:$K$504,"Prioridade 3")</x:f>
        <x:v>0</x:v>
      </x:c>
      <x:c r="J7" s="181" t="n">
        <x:f>COUNTIFS(Lancamentos!$B$5:$B$504,$A7,Lancamentos!$E$5:$E$504,"Sim",Lancamentos!$M$5:$M$504,"VIGENTE")</x:f>
        <x:v>0</x:v>
      </x:c>
      <x:c r="K7" s="181" t="n">
        <x:f>COUNTIFS(Lancamentos!$B$5:$B$504,$A7,Lancamentos!$E$5:$E$504,"Sim",Lancamentos!$M$5:$M$504,"VENCE EM ATÉ 6 MESES")</x:f>
        <x:v>0</x:v>
      </x:c>
      <x:c r="L7" s="181" t="n">
        <x:f>COUNTIFS(Lancamentos!$B$5:$B$504,$A7,Lancamentos!$E$5:$E$504,"Sim",Lancamentos!$M$5:$M$504,"VENCIDA")</x:f>
        <x:v>0</x:v>
      </x:c>
      <x:c r="M7" s="181" t="n">
        <x:f>COUNTIFS(Lancamentos!$B$5:$B$504,$A7,Lancamentos!$E$5:$E$504,"Sim",Lancamentos!$L$5:$L$504,"")</x:f>
        <x:v>0</x:v>
      </x:c>
      <x:c r="N7" s="181" t="n">
        <x:f>COUNTIFS(Lancamentos!$B$5:$B$504,$A7,Lancamentos!$E$5:$E$504,"Sim",Lancamentos!$K$5:$K$504,"Prioridade 1",Lancamentos!$M$5:$M$504,"VENCIDA")</x:f>
        <x:v>0</x:v>
      </x:c>
      <x:c r="O7" s="160"/>
      <x:c r="P7" s="295"/>
      <x:c r="Q7" s="295"/>
      <x:c r="R7" s="295"/>
      <x:c r="S7" s="295"/>
      <x:c r="T7" s="295"/>
      <x:c r="U7" s="295"/>
      <x:c r="V7" s="295"/>
      <x:c r="W7" s="295"/>
      <x:c r="X7" s="160"/>
      <x:c r="Y7" s="160"/>
      <x:c r="Z7" s="160"/>
    </x:row>
    <x:row r="8" ht="18" customHeight="1">
      <x:c r="A8" s="162" t="str">
        <x:f>Obras!$A7</x:f>
        <x:v>UN-03</x:v>
      </x:c>
      <x:c r="B8" s="165" t="str">
        <x:f>IF(Obras!$B7="","",Obras!$B7)</x:f>
      </x:c>
      <x:c r="C8" s="165" t="str">
        <x:f>IF(Obras!$F7="","",Obras!$F7)</x:f>
      </x:c>
      <x:c r="D8" s="166" t="str">
        <x:f>IF(Obras!$H7="","",Obras!$H7)</x:f>
      </x:c>
      <x:c r="E8" s="181" t="n">
        <x:f>COUNTIF(Lancamentos!$B$5:$B$504,$A8)</x:f>
        <x:v>0</x:v>
      </x:c>
      <x:c r="F8" s="181" t="n">
        <x:f>COUNTIFS(Lancamentos!$B$5:$B$504,$A8,Lancamentos!$E$5:$E$504,"Sim")</x:f>
        <x:v>0</x:v>
      </x:c>
      <x:c r="G8" s="181" t="n">
        <x:f>COUNTIFS(Lancamentos!$B$5:$B$504,$A8,Lancamentos!$E$5:$E$504,"Sim",Lancamentos!$K$5:$K$504,"Prioridade 1")</x:f>
        <x:v>0</x:v>
      </x:c>
      <x:c r="H8" s="181" t="n">
        <x:f>COUNTIFS(Lancamentos!$B$5:$B$504,$A8,Lancamentos!$E$5:$E$504,"Sim",Lancamentos!$K$5:$K$504,"Prioridade 2")</x:f>
        <x:v>0</x:v>
      </x:c>
      <x:c r="I8" s="181" t="n">
        <x:f>COUNTIFS(Lancamentos!$B$5:$B$504,$A8,Lancamentos!$E$5:$E$504,"Sim",Lancamentos!$K$5:$K$504,"Prioridade 3")</x:f>
        <x:v>0</x:v>
      </x:c>
      <x:c r="J8" s="181" t="n">
        <x:f>COUNTIFS(Lancamentos!$B$5:$B$504,$A8,Lancamentos!$E$5:$E$504,"Sim",Lancamentos!$M$5:$M$504,"VIGENTE")</x:f>
        <x:v>0</x:v>
      </x:c>
      <x:c r="K8" s="181" t="n">
        <x:f>COUNTIFS(Lancamentos!$B$5:$B$504,$A8,Lancamentos!$E$5:$E$504,"Sim",Lancamentos!$M$5:$M$504,"VENCE EM ATÉ 6 MESES")</x:f>
        <x:v>0</x:v>
      </x:c>
      <x:c r="L8" s="181" t="n">
        <x:f>COUNTIFS(Lancamentos!$B$5:$B$504,$A8,Lancamentos!$E$5:$E$504,"Sim",Lancamentos!$M$5:$M$504,"VENCIDA")</x:f>
        <x:v>0</x:v>
      </x:c>
      <x:c r="M8" s="181" t="n">
        <x:f>COUNTIFS(Lancamentos!$B$5:$B$504,$A8,Lancamentos!$E$5:$E$504,"Sim",Lancamentos!$L$5:$L$504,"")</x:f>
        <x:v>0</x:v>
      </x:c>
      <x:c r="N8" s="181" t="n">
        <x:f>COUNTIFS(Lancamentos!$B$5:$B$504,$A8,Lancamentos!$E$5:$E$504,"Sim",Lancamentos!$K$5:$K$504,"Prioridade 1",Lancamentos!$M$5:$M$504,"VENCIDA")</x:f>
        <x:v>0</x:v>
      </x:c>
      <x:c r="O8" s="160"/>
      <x:c r="P8" s="141" t="str">
        <x:v>Garantia</x:v>
      </x:c>
      <x:c r="Q8" s="141" t="str">
        <x:v>Quantidade</x:v>
      </x:c>
      <x:c r="R8" s="295"/>
      <x:c r="S8" s="295"/>
      <x:c r="T8" s="295"/>
      <x:c r="U8" s="295"/>
      <x:c r="V8" s="295"/>
      <x:c r="W8" s="295"/>
      <x:c r="X8" s="160"/>
      <x:c r="Y8" s="160"/>
      <x:c r="Z8" s="160"/>
    </x:row>
    <x:row r="9" ht="18" customHeight="1">
      <x:c r="A9" s="162" t="str">
        <x:f>Obras!$A8</x:f>
        <x:v>UN-04</x:v>
      </x:c>
      <x:c r="B9" s="165" t="str">
        <x:f>IF(Obras!$B8="","",Obras!$B8)</x:f>
      </x:c>
      <x:c r="C9" s="165" t="str">
        <x:f>IF(Obras!$F8="","",Obras!$F8)</x:f>
      </x:c>
      <x:c r="D9" s="166" t="str">
        <x:f>IF(Obras!$H8="","",Obras!$H8)</x:f>
      </x:c>
      <x:c r="E9" s="181" t="n">
        <x:f>COUNTIF(Lancamentos!$B$5:$B$504,$A9)</x:f>
        <x:v>0</x:v>
      </x:c>
      <x:c r="F9" s="181" t="n">
        <x:f>COUNTIFS(Lancamentos!$B$5:$B$504,$A9,Lancamentos!$E$5:$E$504,"Sim")</x:f>
        <x:v>0</x:v>
      </x:c>
      <x:c r="G9" s="181" t="n">
        <x:f>COUNTIFS(Lancamentos!$B$5:$B$504,$A9,Lancamentos!$E$5:$E$504,"Sim",Lancamentos!$K$5:$K$504,"Prioridade 1")</x:f>
        <x:v>0</x:v>
      </x:c>
      <x:c r="H9" s="181" t="n">
        <x:f>COUNTIFS(Lancamentos!$B$5:$B$504,$A9,Lancamentos!$E$5:$E$504,"Sim",Lancamentos!$K$5:$K$504,"Prioridade 2")</x:f>
        <x:v>0</x:v>
      </x:c>
      <x:c r="I9" s="181" t="n">
        <x:f>COUNTIFS(Lancamentos!$B$5:$B$504,$A9,Lancamentos!$E$5:$E$504,"Sim",Lancamentos!$K$5:$K$504,"Prioridade 3")</x:f>
        <x:v>0</x:v>
      </x:c>
      <x:c r="J9" s="181" t="n">
        <x:f>COUNTIFS(Lancamentos!$B$5:$B$504,$A9,Lancamentos!$E$5:$E$504,"Sim",Lancamentos!$M$5:$M$504,"VIGENTE")</x:f>
        <x:v>0</x:v>
      </x:c>
      <x:c r="K9" s="181" t="n">
        <x:f>COUNTIFS(Lancamentos!$B$5:$B$504,$A9,Lancamentos!$E$5:$E$504,"Sim",Lancamentos!$M$5:$M$504,"VENCE EM ATÉ 6 MESES")</x:f>
        <x:v>0</x:v>
      </x:c>
      <x:c r="L9" s="181" t="n">
        <x:f>COUNTIFS(Lancamentos!$B$5:$B$504,$A9,Lancamentos!$E$5:$E$504,"Sim",Lancamentos!$M$5:$M$504,"VENCIDA")</x:f>
        <x:v>0</x:v>
      </x:c>
      <x:c r="M9" s="181" t="n">
        <x:f>COUNTIFS(Lancamentos!$B$5:$B$504,$A9,Lancamentos!$E$5:$E$504,"Sim",Lancamentos!$L$5:$L$504,"")</x:f>
        <x:v>0</x:v>
      </x:c>
      <x:c r="N9" s="181" t="n">
        <x:f>COUNTIFS(Lancamentos!$B$5:$B$504,$A9,Lancamentos!$E$5:$E$504,"Sim",Lancamentos!$K$5:$K$504,"Prioridade 1",Lancamentos!$M$5:$M$504,"VENCIDA")</x:f>
        <x:v>0</x:v>
      </x:c>
      <x:c r="O9" s="160"/>
      <x:c r="P9" s="295" t="str">
        <x:v>Vigente</x:v>
      </x:c>
      <x:c r="Q9" s="295" t="n">
        <x:f>D32</x:f>
        <x:v>0</x:v>
      </x:c>
      <x:c r="R9" s="295"/>
      <x:c r="S9" s="295"/>
      <x:c r="T9" s="295"/>
      <x:c r="U9" s="295"/>
      <x:c r="V9" s="295"/>
      <x:c r="W9" s="295"/>
      <x:c r="X9" s="160"/>
      <x:c r="Y9" s="160"/>
      <x:c r="Z9" s="160"/>
    </x:row>
    <x:row r="10" ht="18" customHeight="1">
      <x:c r="A10" s="162" t="str">
        <x:f>Obras!$A9</x:f>
        <x:v>UN-05</x:v>
      </x:c>
      <x:c r="B10" s="165" t="str">
        <x:f>IF(Obras!$B9="","",Obras!$B9)</x:f>
      </x:c>
      <x:c r="C10" s="165" t="str">
        <x:f>IF(Obras!$F9="","",Obras!$F9)</x:f>
      </x:c>
      <x:c r="D10" s="166" t="str">
        <x:f>IF(Obras!$H9="","",Obras!$H9)</x:f>
      </x:c>
      <x:c r="E10" s="181" t="n">
        <x:f>COUNTIF(Lancamentos!$B$5:$B$504,$A10)</x:f>
        <x:v>0</x:v>
      </x:c>
      <x:c r="F10" s="181" t="n">
        <x:f>COUNTIFS(Lancamentos!$B$5:$B$504,$A10,Lancamentos!$E$5:$E$504,"Sim")</x:f>
        <x:v>0</x:v>
      </x:c>
      <x:c r="G10" s="181" t="n">
        <x:f>COUNTIFS(Lancamentos!$B$5:$B$504,$A10,Lancamentos!$E$5:$E$504,"Sim",Lancamentos!$K$5:$K$504,"Prioridade 1")</x:f>
        <x:v>0</x:v>
      </x:c>
      <x:c r="H10" s="181" t="n">
        <x:f>COUNTIFS(Lancamentos!$B$5:$B$504,$A10,Lancamentos!$E$5:$E$504,"Sim",Lancamentos!$K$5:$K$504,"Prioridade 2")</x:f>
        <x:v>0</x:v>
      </x:c>
      <x:c r="I10" s="181" t="n">
        <x:f>COUNTIFS(Lancamentos!$B$5:$B$504,$A10,Lancamentos!$E$5:$E$504,"Sim",Lancamentos!$K$5:$K$504,"Prioridade 3")</x:f>
        <x:v>0</x:v>
      </x:c>
      <x:c r="J10" s="181" t="n">
        <x:f>COUNTIFS(Lancamentos!$B$5:$B$504,$A10,Lancamentos!$E$5:$E$504,"Sim",Lancamentos!$M$5:$M$504,"VIGENTE")</x:f>
        <x:v>0</x:v>
      </x:c>
      <x:c r="K10" s="181" t="n">
        <x:f>COUNTIFS(Lancamentos!$B$5:$B$504,$A10,Lancamentos!$E$5:$E$504,"Sim",Lancamentos!$M$5:$M$504,"VENCE EM ATÉ 6 MESES")</x:f>
        <x:v>0</x:v>
      </x:c>
      <x:c r="L10" s="181" t="n">
        <x:f>COUNTIFS(Lancamentos!$B$5:$B$504,$A10,Lancamentos!$E$5:$E$504,"Sim",Lancamentos!$M$5:$M$504,"VENCIDA")</x:f>
        <x:v>0</x:v>
      </x:c>
      <x:c r="M10" s="181" t="n">
        <x:f>COUNTIFS(Lancamentos!$B$5:$B$504,$A10,Lancamentos!$E$5:$E$504,"Sim",Lancamentos!$L$5:$L$504,"")</x:f>
        <x:v>0</x:v>
      </x:c>
      <x:c r="N10" s="181" t="n">
        <x:f>COUNTIFS(Lancamentos!$B$5:$B$504,$A10,Lancamentos!$E$5:$E$504,"Sim",Lancamentos!$K$5:$K$504,"Prioridade 1",Lancamentos!$M$5:$M$504,"VENCIDA")</x:f>
        <x:v>0</x:v>
      </x:c>
      <x:c r="O10" s="160"/>
      <x:c r="P10" s="295" t="str">
        <x:v>Vence ≤ 6 meses</x:v>
      </x:c>
      <x:c r="Q10" s="295" t="n">
        <x:f>D33</x:f>
        <x:v>0</x:v>
      </x:c>
      <x:c r="R10" s="295"/>
      <x:c r="S10" s="295"/>
      <x:c r="T10" s="295"/>
      <x:c r="U10" s="295"/>
      <x:c r="V10" s="295"/>
      <x:c r="W10" s="295"/>
      <x:c r="X10" s="160"/>
      <x:c r="Y10" s="160"/>
      <x:c r="Z10" s="160"/>
    </x:row>
    <x:row r="11" ht="18" customHeight="1">
      <x:c r="A11" s="162" t="str">
        <x:f>Obras!$A10</x:f>
        <x:v>UN-06</x:v>
      </x:c>
      <x:c r="B11" s="165" t="str">
        <x:f>IF(Obras!$B10="","",Obras!$B10)</x:f>
      </x:c>
      <x:c r="C11" s="165" t="str">
        <x:f>IF(Obras!$F10="","",Obras!$F10)</x:f>
      </x:c>
      <x:c r="D11" s="166" t="str">
        <x:f>IF(Obras!$H10="","",Obras!$H10)</x:f>
      </x:c>
      <x:c r="E11" s="181" t="n">
        <x:f>COUNTIF(Lancamentos!$B$5:$B$504,$A11)</x:f>
        <x:v>0</x:v>
      </x:c>
      <x:c r="F11" s="181" t="n">
        <x:f>COUNTIFS(Lancamentos!$B$5:$B$504,$A11,Lancamentos!$E$5:$E$504,"Sim")</x:f>
        <x:v>0</x:v>
      </x:c>
      <x:c r="G11" s="181" t="n">
        <x:f>COUNTIFS(Lancamentos!$B$5:$B$504,$A11,Lancamentos!$E$5:$E$504,"Sim",Lancamentos!$K$5:$K$504,"Prioridade 1")</x:f>
        <x:v>0</x:v>
      </x:c>
      <x:c r="H11" s="181" t="n">
        <x:f>COUNTIFS(Lancamentos!$B$5:$B$504,$A11,Lancamentos!$E$5:$E$504,"Sim",Lancamentos!$K$5:$K$504,"Prioridade 2")</x:f>
        <x:v>0</x:v>
      </x:c>
      <x:c r="I11" s="181" t="n">
        <x:f>COUNTIFS(Lancamentos!$B$5:$B$504,$A11,Lancamentos!$E$5:$E$504,"Sim",Lancamentos!$K$5:$K$504,"Prioridade 3")</x:f>
        <x:v>0</x:v>
      </x:c>
      <x:c r="J11" s="181" t="n">
        <x:f>COUNTIFS(Lancamentos!$B$5:$B$504,$A11,Lancamentos!$E$5:$E$504,"Sim",Lancamentos!$M$5:$M$504,"VIGENTE")</x:f>
        <x:v>0</x:v>
      </x:c>
      <x:c r="K11" s="181" t="n">
        <x:f>COUNTIFS(Lancamentos!$B$5:$B$504,$A11,Lancamentos!$E$5:$E$504,"Sim",Lancamentos!$M$5:$M$504,"VENCE EM ATÉ 6 MESES")</x:f>
        <x:v>0</x:v>
      </x:c>
      <x:c r="L11" s="181" t="n">
        <x:f>COUNTIFS(Lancamentos!$B$5:$B$504,$A11,Lancamentos!$E$5:$E$504,"Sim",Lancamentos!$M$5:$M$504,"VENCIDA")</x:f>
        <x:v>0</x:v>
      </x:c>
      <x:c r="M11" s="181" t="n">
        <x:f>COUNTIFS(Lancamentos!$B$5:$B$504,$A11,Lancamentos!$E$5:$E$504,"Sim",Lancamentos!$L$5:$L$504,"")</x:f>
        <x:v>0</x:v>
      </x:c>
      <x:c r="N11" s="181" t="n">
        <x:f>COUNTIFS(Lancamentos!$B$5:$B$504,$A11,Lancamentos!$E$5:$E$504,"Sim",Lancamentos!$K$5:$K$504,"Prioridade 1",Lancamentos!$M$5:$M$504,"VENCIDA")</x:f>
        <x:v>0</x:v>
      </x:c>
      <x:c r="O11" s="160"/>
      <x:c r="P11" s="295" t="str">
        <x:v>Vencida</x:v>
      </x:c>
      <x:c r="Q11" s="295" t="n">
        <x:f>D34</x:f>
        <x:v>0</x:v>
      </x:c>
      <x:c r="R11" s="295"/>
      <x:c r="S11" s="295"/>
      <x:c r="T11" s="295"/>
      <x:c r="U11" s="295"/>
      <x:c r="V11" s="295"/>
      <x:c r="W11" s="295"/>
      <x:c r="X11" s="160"/>
      <x:c r="Y11" s="160"/>
      <x:c r="Z11" s="160"/>
    </x:row>
    <x:row r="12" ht="18" customHeight="1">
      <x:c r="A12" s="162" t="str">
        <x:f>Obras!$A11</x:f>
        <x:v>UN-07</x:v>
      </x:c>
      <x:c r="B12" s="165" t="str">
        <x:f>IF(Obras!$B11="","",Obras!$B11)</x:f>
      </x:c>
      <x:c r="C12" s="165" t="str">
        <x:f>IF(Obras!$F11="","",Obras!$F11)</x:f>
      </x:c>
      <x:c r="D12" s="166" t="str">
        <x:f>IF(Obras!$H11="","",Obras!$H11)</x:f>
      </x:c>
      <x:c r="E12" s="181" t="n">
        <x:f>COUNTIF(Lancamentos!$B$5:$B$504,$A12)</x:f>
        <x:v>0</x:v>
      </x:c>
      <x:c r="F12" s="181" t="n">
        <x:f>COUNTIFS(Lancamentos!$B$5:$B$504,$A12,Lancamentos!$E$5:$E$504,"Sim")</x:f>
        <x:v>0</x:v>
      </x:c>
      <x:c r="G12" s="181" t="n">
        <x:f>COUNTIFS(Lancamentos!$B$5:$B$504,$A12,Lancamentos!$E$5:$E$504,"Sim",Lancamentos!$K$5:$K$504,"Prioridade 1")</x:f>
        <x:v>0</x:v>
      </x:c>
      <x:c r="H12" s="181" t="n">
        <x:f>COUNTIFS(Lancamentos!$B$5:$B$504,$A12,Lancamentos!$E$5:$E$504,"Sim",Lancamentos!$K$5:$K$504,"Prioridade 2")</x:f>
        <x:v>0</x:v>
      </x:c>
      <x:c r="I12" s="181" t="n">
        <x:f>COUNTIFS(Lancamentos!$B$5:$B$504,$A12,Lancamentos!$E$5:$E$504,"Sim",Lancamentos!$K$5:$K$504,"Prioridade 3")</x:f>
        <x:v>0</x:v>
      </x:c>
      <x:c r="J12" s="181" t="n">
        <x:f>COUNTIFS(Lancamentos!$B$5:$B$504,$A12,Lancamentos!$E$5:$E$504,"Sim",Lancamentos!$M$5:$M$504,"VIGENTE")</x:f>
        <x:v>0</x:v>
      </x:c>
      <x:c r="K12" s="181" t="n">
        <x:f>COUNTIFS(Lancamentos!$B$5:$B$504,$A12,Lancamentos!$E$5:$E$504,"Sim",Lancamentos!$M$5:$M$504,"VENCE EM ATÉ 6 MESES")</x:f>
        <x:v>0</x:v>
      </x:c>
      <x:c r="L12" s="181" t="n">
        <x:f>COUNTIFS(Lancamentos!$B$5:$B$504,$A12,Lancamentos!$E$5:$E$504,"Sim",Lancamentos!$M$5:$M$504,"VENCIDA")</x:f>
        <x:v>0</x:v>
      </x:c>
      <x:c r="M12" s="181" t="n">
        <x:f>COUNTIFS(Lancamentos!$B$5:$B$504,$A12,Lancamentos!$E$5:$E$504,"Sim",Lancamentos!$L$5:$L$504,"")</x:f>
        <x:v>0</x:v>
      </x:c>
      <x:c r="N12" s="181" t="n">
        <x:f>COUNTIFS(Lancamentos!$B$5:$B$504,$A12,Lancamentos!$E$5:$E$504,"Sim",Lancamentos!$K$5:$K$504,"Prioridade 1",Lancamentos!$M$5:$M$504,"VENCIDA")</x:f>
        <x:v>0</x:v>
      </x:c>
      <x:c r="O12" s="160"/>
      <x:c r="P12" s="295"/>
      <x:c r="Q12" s="295"/>
      <x:c r="R12" s="295"/>
      <x:c r="S12" s="295"/>
      <x:c r="T12" s="295"/>
      <x:c r="U12" s="295"/>
      <x:c r="V12" s="295"/>
      <x:c r="W12" s="295"/>
      <x:c r="X12" s="160"/>
      <x:c r="Y12" s="160"/>
      <x:c r="Z12" s="160"/>
    </x:row>
    <x:row r="13" ht="18" customHeight="1">
      <x:c r="A13" s="162" t="str">
        <x:f>Obras!$A12</x:f>
        <x:v>UN-08</x:v>
      </x:c>
      <x:c r="B13" s="165" t="str">
        <x:f>IF(Obras!$B12="","",Obras!$B12)</x:f>
      </x:c>
      <x:c r="C13" s="165" t="str">
        <x:f>IF(Obras!$F12="","",Obras!$F12)</x:f>
      </x:c>
      <x:c r="D13" s="166" t="str">
        <x:f>IF(Obras!$H12="","",Obras!$H12)</x:f>
      </x:c>
      <x:c r="E13" s="181" t="n">
        <x:f>COUNTIF(Lancamentos!$B$5:$B$504,$A13)</x:f>
        <x:v>0</x:v>
      </x:c>
      <x:c r="F13" s="181" t="n">
        <x:f>COUNTIFS(Lancamentos!$B$5:$B$504,$A13,Lancamentos!$E$5:$E$504,"Sim")</x:f>
        <x:v>0</x:v>
      </x:c>
      <x:c r="G13" s="181" t="n">
        <x:f>COUNTIFS(Lancamentos!$B$5:$B$504,$A13,Lancamentos!$E$5:$E$504,"Sim",Lancamentos!$K$5:$K$504,"Prioridade 1")</x:f>
        <x:v>0</x:v>
      </x:c>
      <x:c r="H13" s="181" t="n">
        <x:f>COUNTIFS(Lancamentos!$B$5:$B$504,$A13,Lancamentos!$E$5:$E$504,"Sim",Lancamentos!$K$5:$K$504,"Prioridade 2")</x:f>
        <x:v>0</x:v>
      </x:c>
      <x:c r="I13" s="181" t="n">
        <x:f>COUNTIFS(Lancamentos!$B$5:$B$504,$A13,Lancamentos!$E$5:$E$504,"Sim",Lancamentos!$K$5:$K$504,"Prioridade 3")</x:f>
        <x:v>0</x:v>
      </x:c>
      <x:c r="J13" s="181" t="n">
        <x:f>COUNTIFS(Lancamentos!$B$5:$B$504,$A13,Lancamentos!$E$5:$E$504,"Sim",Lancamentos!$M$5:$M$504,"VIGENTE")</x:f>
        <x:v>0</x:v>
      </x:c>
      <x:c r="K13" s="181" t="n">
        <x:f>COUNTIFS(Lancamentos!$B$5:$B$504,$A13,Lancamentos!$E$5:$E$504,"Sim",Lancamentos!$M$5:$M$504,"VENCE EM ATÉ 6 MESES")</x:f>
        <x:v>0</x:v>
      </x:c>
      <x:c r="L13" s="181" t="n">
        <x:f>COUNTIFS(Lancamentos!$B$5:$B$504,$A13,Lancamentos!$E$5:$E$504,"Sim",Lancamentos!$M$5:$M$504,"VENCIDA")</x:f>
        <x:v>0</x:v>
      </x:c>
      <x:c r="M13" s="181" t="n">
        <x:f>COUNTIFS(Lancamentos!$B$5:$B$504,$A13,Lancamentos!$E$5:$E$504,"Sim",Lancamentos!$L$5:$L$504,"")</x:f>
        <x:v>0</x:v>
      </x:c>
      <x:c r="N13" s="181" t="n">
        <x:f>COUNTIFS(Lancamentos!$B$5:$B$504,$A13,Lancamentos!$E$5:$E$504,"Sim",Lancamentos!$K$5:$K$504,"Prioridade 1",Lancamentos!$M$5:$M$504,"VENCIDA")</x:f>
        <x:v>0</x:v>
      </x:c>
      <x:c r="O13" s="160"/>
      <x:c r="P13" s="295"/>
      <x:c r="Q13" s="295"/>
      <x:c r="R13" s="295"/>
      <x:c r="S13" s="295"/>
      <x:c r="T13" s="295"/>
      <x:c r="U13" s="295"/>
      <x:c r="V13" s="295"/>
      <x:c r="W13" s="295"/>
      <x:c r="X13" s="160"/>
      <x:c r="Y13" s="160"/>
      <x:c r="Z13" s="160"/>
    </x:row>
    <x:row r="14" ht="18" customHeight="1">
      <x:c r="A14" s="162" t="str">
        <x:f>Obras!$A13</x:f>
        <x:v>UN-09</x:v>
      </x:c>
      <x:c r="B14" s="165" t="str">
        <x:f>IF(Obras!$B13="","",Obras!$B13)</x:f>
      </x:c>
      <x:c r="C14" s="165" t="str">
        <x:f>IF(Obras!$F13="","",Obras!$F13)</x:f>
      </x:c>
      <x:c r="D14" s="166" t="str">
        <x:f>IF(Obras!$H13="","",Obras!$H13)</x:f>
      </x:c>
      <x:c r="E14" s="181" t="n">
        <x:f>COUNTIF(Lancamentos!$B$5:$B$504,$A14)</x:f>
        <x:v>0</x:v>
      </x:c>
      <x:c r="F14" s="181" t="n">
        <x:f>COUNTIFS(Lancamentos!$B$5:$B$504,$A14,Lancamentos!$E$5:$E$504,"Sim")</x:f>
        <x:v>0</x:v>
      </x:c>
      <x:c r="G14" s="181" t="n">
        <x:f>COUNTIFS(Lancamentos!$B$5:$B$504,$A14,Lancamentos!$E$5:$E$504,"Sim",Lancamentos!$K$5:$K$504,"Prioridade 1")</x:f>
        <x:v>0</x:v>
      </x:c>
      <x:c r="H14" s="181" t="n">
        <x:f>COUNTIFS(Lancamentos!$B$5:$B$504,$A14,Lancamentos!$E$5:$E$504,"Sim",Lancamentos!$K$5:$K$504,"Prioridade 2")</x:f>
        <x:v>0</x:v>
      </x:c>
      <x:c r="I14" s="181" t="n">
        <x:f>COUNTIFS(Lancamentos!$B$5:$B$504,$A14,Lancamentos!$E$5:$E$504,"Sim",Lancamentos!$K$5:$K$504,"Prioridade 3")</x:f>
        <x:v>0</x:v>
      </x:c>
      <x:c r="J14" s="181" t="n">
        <x:f>COUNTIFS(Lancamentos!$B$5:$B$504,$A14,Lancamentos!$E$5:$E$504,"Sim",Lancamentos!$M$5:$M$504,"VIGENTE")</x:f>
        <x:v>0</x:v>
      </x:c>
      <x:c r="K14" s="181" t="n">
        <x:f>COUNTIFS(Lancamentos!$B$5:$B$504,$A14,Lancamentos!$E$5:$E$504,"Sim",Lancamentos!$M$5:$M$504,"VENCE EM ATÉ 6 MESES")</x:f>
        <x:v>0</x:v>
      </x:c>
      <x:c r="L14" s="181" t="n">
        <x:f>COUNTIFS(Lancamentos!$B$5:$B$504,$A14,Lancamentos!$E$5:$E$504,"Sim",Lancamentos!$M$5:$M$504,"VENCIDA")</x:f>
        <x:v>0</x:v>
      </x:c>
      <x:c r="M14" s="181" t="n">
        <x:f>COUNTIFS(Lancamentos!$B$5:$B$504,$A14,Lancamentos!$E$5:$E$504,"Sim",Lancamentos!$L$5:$L$504,"")</x:f>
        <x:v>0</x:v>
      </x:c>
      <x:c r="N14" s="181" t="n">
        <x:f>COUNTIFS(Lancamentos!$B$5:$B$504,$A14,Lancamentos!$E$5:$E$504,"Sim",Lancamentos!$K$5:$K$504,"Prioridade 1",Lancamentos!$M$5:$M$504,"VENCIDA")</x:f>
        <x:v>0</x:v>
      </x:c>
      <x:c r="O14" s="160"/>
      <x:c r="P14" s="295"/>
      <x:c r="Q14" s="295"/>
      <x:c r="R14" s="295"/>
      <x:c r="S14" s="295"/>
      <x:c r="T14" s="295"/>
      <x:c r="U14" s="295"/>
      <x:c r="V14" s="295"/>
      <x:c r="W14" s="295"/>
      <x:c r="X14" s="160"/>
      <x:c r="Y14" s="160"/>
      <x:c r="Z14" s="160"/>
    </x:row>
    <x:row r="15" ht="18" customHeight="1">
      <x:c r="A15" s="162" t="str">
        <x:f>Obras!$A14</x:f>
        <x:v>UN-10</x:v>
      </x:c>
      <x:c r="B15" s="165" t="str">
        <x:f>IF(Obras!$B14="","",Obras!$B14)</x:f>
      </x:c>
      <x:c r="C15" s="165" t="str">
        <x:f>IF(Obras!$F14="","",Obras!$F14)</x:f>
      </x:c>
      <x:c r="D15" s="166" t="str">
        <x:f>IF(Obras!$H14="","",Obras!$H14)</x:f>
      </x:c>
      <x:c r="E15" s="181" t="n">
        <x:f>COUNTIF(Lancamentos!$B$5:$B$504,$A15)</x:f>
        <x:v>0</x:v>
      </x:c>
      <x:c r="F15" s="181" t="n">
        <x:f>COUNTIFS(Lancamentos!$B$5:$B$504,$A15,Lancamentos!$E$5:$E$504,"Sim")</x:f>
        <x:v>0</x:v>
      </x:c>
      <x:c r="G15" s="181" t="n">
        <x:f>COUNTIFS(Lancamentos!$B$5:$B$504,$A15,Lancamentos!$E$5:$E$504,"Sim",Lancamentos!$K$5:$K$504,"Prioridade 1")</x:f>
        <x:v>0</x:v>
      </x:c>
      <x:c r="H15" s="181" t="n">
        <x:f>COUNTIFS(Lancamentos!$B$5:$B$504,$A15,Lancamentos!$E$5:$E$504,"Sim",Lancamentos!$K$5:$K$504,"Prioridade 2")</x:f>
        <x:v>0</x:v>
      </x:c>
      <x:c r="I15" s="181" t="n">
        <x:f>COUNTIFS(Lancamentos!$B$5:$B$504,$A15,Lancamentos!$E$5:$E$504,"Sim",Lancamentos!$K$5:$K$504,"Prioridade 3")</x:f>
        <x:v>0</x:v>
      </x:c>
      <x:c r="J15" s="181" t="n">
        <x:f>COUNTIFS(Lancamentos!$B$5:$B$504,$A15,Lancamentos!$E$5:$E$504,"Sim",Lancamentos!$M$5:$M$504,"VIGENTE")</x:f>
        <x:v>0</x:v>
      </x:c>
      <x:c r="K15" s="181" t="n">
        <x:f>COUNTIFS(Lancamentos!$B$5:$B$504,$A15,Lancamentos!$E$5:$E$504,"Sim",Lancamentos!$M$5:$M$504,"VENCE EM ATÉ 6 MESES")</x:f>
        <x:v>0</x:v>
      </x:c>
      <x:c r="L15" s="181" t="n">
        <x:f>COUNTIFS(Lancamentos!$B$5:$B$504,$A15,Lancamentos!$E$5:$E$504,"Sim",Lancamentos!$M$5:$M$504,"VENCIDA")</x:f>
        <x:v>0</x:v>
      </x:c>
      <x:c r="M15" s="181" t="n">
        <x:f>COUNTIFS(Lancamentos!$B$5:$B$504,$A15,Lancamentos!$E$5:$E$504,"Sim",Lancamentos!$L$5:$L$504,"")</x:f>
        <x:v>0</x:v>
      </x:c>
      <x:c r="N15" s="181" t="n">
        <x:f>COUNTIFS(Lancamentos!$B$5:$B$504,$A15,Lancamentos!$E$5:$E$504,"Sim",Lancamentos!$K$5:$K$504,"Prioridade 1",Lancamentos!$M$5:$M$504,"VENCIDA")</x:f>
        <x:v>0</x:v>
      </x:c>
      <x:c r="O15" s="160"/>
      <x:c r="P15" s="295"/>
      <x:c r="Q15" s="295"/>
      <x:c r="R15" s="295"/>
      <x:c r="S15" s="295"/>
      <x:c r="T15" s="295"/>
      <x:c r="U15" s="295"/>
      <x:c r="V15" s="295"/>
      <x:c r="W15" s="295"/>
      <x:c r="X15" s="160"/>
      <x:c r="Y15" s="160"/>
      <x:c r="Z15" s="160"/>
    </x:row>
    <x:row r="16" ht="18" customHeight="1">
      <x:c r="A16" s="162" t="str">
        <x:f>Obras!$A15</x:f>
        <x:v>UN-11</x:v>
      </x:c>
      <x:c r="B16" s="165" t="str">
        <x:f>IF(Obras!$B15="","",Obras!$B15)</x:f>
      </x:c>
      <x:c r="C16" s="165" t="str">
        <x:f>IF(Obras!$F15="","",Obras!$F15)</x:f>
      </x:c>
      <x:c r="D16" s="166" t="str">
        <x:f>IF(Obras!$H15="","",Obras!$H15)</x:f>
      </x:c>
      <x:c r="E16" s="181" t="n">
        <x:f>COUNTIF(Lancamentos!$B$5:$B$504,$A16)</x:f>
        <x:v>0</x:v>
      </x:c>
      <x:c r="F16" s="181" t="n">
        <x:f>COUNTIFS(Lancamentos!$B$5:$B$504,$A16,Lancamentos!$E$5:$E$504,"Sim")</x:f>
        <x:v>0</x:v>
      </x:c>
      <x:c r="G16" s="181" t="n">
        <x:f>COUNTIFS(Lancamentos!$B$5:$B$504,$A16,Lancamentos!$E$5:$E$504,"Sim",Lancamentos!$K$5:$K$504,"Prioridade 1")</x:f>
        <x:v>0</x:v>
      </x:c>
      <x:c r="H16" s="181" t="n">
        <x:f>COUNTIFS(Lancamentos!$B$5:$B$504,$A16,Lancamentos!$E$5:$E$504,"Sim",Lancamentos!$K$5:$K$504,"Prioridade 2")</x:f>
        <x:v>0</x:v>
      </x:c>
      <x:c r="I16" s="181" t="n">
        <x:f>COUNTIFS(Lancamentos!$B$5:$B$504,$A16,Lancamentos!$E$5:$E$504,"Sim",Lancamentos!$K$5:$K$504,"Prioridade 3")</x:f>
        <x:v>0</x:v>
      </x:c>
      <x:c r="J16" s="181" t="n">
        <x:f>COUNTIFS(Lancamentos!$B$5:$B$504,$A16,Lancamentos!$E$5:$E$504,"Sim",Lancamentos!$M$5:$M$504,"VIGENTE")</x:f>
        <x:v>0</x:v>
      </x:c>
      <x:c r="K16" s="181" t="n">
        <x:f>COUNTIFS(Lancamentos!$B$5:$B$504,$A16,Lancamentos!$E$5:$E$504,"Sim",Lancamentos!$M$5:$M$504,"VENCE EM ATÉ 6 MESES")</x:f>
        <x:v>0</x:v>
      </x:c>
      <x:c r="L16" s="181" t="n">
        <x:f>COUNTIFS(Lancamentos!$B$5:$B$504,$A16,Lancamentos!$E$5:$E$504,"Sim",Lancamentos!$M$5:$M$504,"VENCIDA")</x:f>
        <x:v>0</x:v>
      </x:c>
      <x:c r="M16" s="181" t="n">
        <x:f>COUNTIFS(Lancamentos!$B$5:$B$504,$A16,Lancamentos!$E$5:$E$504,"Sim",Lancamentos!$L$5:$L$504,"")</x:f>
        <x:v>0</x:v>
      </x:c>
      <x:c r="N16" s="181" t="n">
        <x:f>COUNTIFS(Lancamentos!$B$5:$B$504,$A16,Lancamentos!$E$5:$E$504,"Sim",Lancamentos!$K$5:$K$504,"Prioridade 1",Lancamentos!$M$5:$M$504,"VENCIDA")</x:f>
        <x:v>0</x:v>
      </x:c>
      <x:c r="O16" s="160"/>
      <x:c r="P16" s="295"/>
      <x:c r="Q16" s="295"/>
      <x:c r="R16" s="295"/>
      <x:c r="S16" s="295"/>
      <x:c r="T16" s="295"/>
      <x:c r="U16" s="295"/>
      <x:c r="V16" s="295"/>
      <x:c r="W16" s="295"/>
      <x:c r="X16" s="160"/>
      <x:c r="Y16" s="160"/>
      <x:c r="Z16" s="160"/>
    </x:row>
    <x:row r="17" ht="18" customHeight="1">
      <x:c r="A17" s="162" t="str">
        <x:f>Obras!$A16</x:f>
        <x:v>UN-12</x:v>
      </x:c>
      <x:c r="B17" s="165" t="str">
        <x:f>IF(Obras!$B16="","",Obras!$B16)</x:f>
      </x:c>
      <x:c r="C17" s="165" t="str">
        <x:f>IF(Obras!$F16="","",Obras!$F16)</x:f>
      </x:c>
      <x:c r="D17" s="166" t="str">
        <x:f>IF(Obras!$H16="","",Obras!$H16)</x:f>
      </x:c>
      <x:c r="E17" s="181" t="n">
        <x:f>COUNTIF(Lancamentos!$B$5:$B$504,$A17)</x:f>
        <x:v>0</x:v>
      </x:c>
      <x:c r="F17" s="181" t="n">
        <x:f>COUNTIFS(Lancamentos!$B$5:$B$504,$A17,Lancamentos!$E$5:$E$504,"Sim")</x:f>
        <x:v>0</x:v>
      </x:c>
      <x:c r="G17" s="181" t="n">
        <x:f>COUNTIFS(Lancamentos!$B$5:$B$504,$A17,Lancamentos!$E$5:$E$504,"Sim",Lancamentos!$K$5:$K$504,"Prioridade 1")</x:f>
        <x:v>0</x:v>
      </x:c>
      <x:c r="H17" s="181" t="n">
        <x:f>COUNTIFS(Lancamentos!$B$5:$B$504,$A17,Lancamentos!$E$5:$E$504,"Sim",Lancamentos!$K$5:$K$504,"Prioridade 2")</x:f>
        <x:v>0</x:v>
      </x:c>
      <x:c r="I17" s="181" t="n">
        <x:f>COUNTIFS(Lancamentos!$B$5:$B$504,$A17,Lancamentos!$E$5:$E$504,"Sim",Lancamentos!$K$5:$K$504,"Prioridade 3")</x:f>
        <x:v>0</x:v>
      </x:c>
      <x:c r="J17" s="181" t="n">
        <x:f>COUNTIFS(Lancamentos!$B$5:$B$504,$A17,Lancamentos!$E$5:$E$504,"Sim",Lancamentos!$M$5:$M$504,"VIGENTE")</x:f>
        <x:v>0</x:v>
      </x:c>
      <x:c r="K17" s="181" t="n">
        <x:f>COUNTIFS(Lancamentos!$B$5:$B$504,$A17,Lancamentos!$E$5:$E$504,"Sim",Lancamentos!$M$5:$M$504,"VENCE EM ATÉ 6 MESES")</x:f>
        <x:v>0</x:v>
      </x:c>
      <x:c r="L17" s="181" t="n">
        <x:f>COUNTIFS(Lancamentos!$B$5:$B$504,$A17,Lancamentos!$E$5:$E$504,"Sim",Lancamentos!$M$5:$M$504,"VENCIDA")</x:f>
        <x:v>0</x:v>
      </x:c>
      <x:c r="M17" s="181" t="n">
        <x:f>COUNTIFS(Lancamentos!$B$5:$B$504,$A17,Lancamentos!$E$5:$E$504,"Sim",Lancamentos!$L$5:$L$504,"")</x:f>
        <x:v>0</x:v>
      </x:c>
      <x:c r="N17" s="181" t="n">
        <x:f>COUNTIFS(Lancamentos!$B$5:$B$504,$A17,Lancamentos!$E$5:$E$504,"Sim",Lancamentos!$K$5:$K$504,"Prioridade 1",Lancamentos!$M$5:$M$504,"VENCIDA")</x:f>
        <x:v>0</x:v>
      </x:c>
      <x:c r="O17" s="160"/>
      <x:c r="P17" s="295"/>
      <x:c r="Q17" s="295"/>
      <x:c r="R17" s="295"/>
      <x:c r="S17" s="295"/>
      <x:c r="T17" s="295"/>
      <x:c r="U17" s="295"/>
      <x:c r="V17" s="295"/>
      <x:c r="W17" s="295"/>
      <x:c r="X17" s="160"/>
      <x:c r="Y17" s="160"/>
      <x:c r="Z17" s="160"/>
    </x:row>
    <x:row r="18" ht="18" customHeight="1">
      <x:c r="A18" s="162" t="str">
        <x:f>Obras!$A17</x:f>
        <x:v>UN-13</x:v>
      </x:c>
      <x:c r="B18" s="165" t="str">
        <x:f>IF(Obras!$B17="","",Obras!$B17)</x:f>
      </x:c>
      <x:c r="C18" s="165" t="str">
        <x:f>IF(Obras!$F17="","",Obras!$F17)</x:f>
      </x:c>
      <x:c r="D18" s="166" t="str">
        <x:f>IF(Obras!$H17="","",Obras!$H17)</x:f>
      </x:c>
      <x:c r="E18" s="181" t="n">
        <x:f>COUNTIF(Lancamentos!$B$5:$B$504,$A18)</x:f>
        <x:v>0</x:v>
      </x:c>
      <x:c r="F18" s="181" t="n">
        <x:f>COUNTIFS(Lancamentos!$B$5:$B$504,$A18,Lancamentos!$E$5:$E$504,"Sim")</x:f>
        <x:v>0</x:v>
      </x:c>
      <x:c r="G18" s="181" t="n">
        <x:f>COUNTIFS(Lancamentos!$B$5:$B$504,$A18,Lancamentos!$E$5:$E$504,"Sim",Lancamentos!$K$5:$K$504,"Prioridade 1")</x:f>
        <x:v>0</x:v>
      </x:c>
      <x:c r="H18" s="181" t="n">
        <x:f>COUNTIFS(Lancamentos!$B$5:$B$504,$A18,Lancamentos!$E$5:$E$504,"Sim",Lancamentos!$K$5:$K$504,"Prioridade 2")</x:f>
        <x:v>0</x:v>
      </x:c>
      <x:c r="I18" s="181" t="n">
        <x:f>COUNTIFS(Lancamentos!$B$5:$B$504,$A18,Lancamentos!$E$5:$E$504,"Sim",Lancamentos!$K$5:$K$504,"Prioridade 3")</x:f>
        <x:v>0</x:v>
      </x:c>
      <x:c r="J18" s="181" t="n">
        <x:f>COUNTIFS(Lancamentos!$B$5:$B$504,$A18,Lancamentos!$E$5:$E$504,"Sim",Lancamentos!$M$5:$M$504,"VIGENTE")</x:f>
        <x:v>0</x:v>
      </x:c>
      <x:c r="K18" s="181" t="n">
        <x:f>COUNTIFS(Lancamentos!$B$5:$B$504,$A18,Lancamentos!$E$5:$E$504,"Sim",Lancamentos!$M$5:$M$504,"VENCE EM ATÉ 6 MESES")</x:f>
        <x:v>0</x:v>
      </x:c>
      <x:c r="L18" s="181" t="n">
        <x:f>COUNTIFS(Lancamentos!$B$5:$B$504,$A18,Lancamentos!$E$5:$E$504,"Sim",Lancamentos!$M$5:$M$504,"VENCIDA")</x:f>
        <x:v>0</x:v>
      </x:c>
      <x:c r="M18" s="181" t="n">
        <x:f>COUNTIFS(Lancamentos!$B$5:$B$504,$A18,Lancamentos!$E$5:$E$504,"Sim",Lancamentos!$L$5:$L$504,"")</x:f>
        <x:v>0</x:v>
      </x:c>
      <x:c r="N18" s="181" t="n">
        <x:f>COUNTIFS(Lancamentos!$B$5:$B$504,$A18,Lancamentos!$E$5:$E$504,"Sim",Lancamentos!$K$5:$K$504,"Prioridade 1",Lancamentos!$M$5:$M$504,"VENCIDA")</x:f>
        <x:v>0</x:v>
      </x:c>
      <x:c r="O18" s="160"/>
      <x:c r="P18" s="295"/>
      <x:c r="Q18" s="295"/>
      <x:c r="R18" s="295"/>
      <x:c r="S18" s="295"/>
      <x:c r="T18" s="295"/>
      <x:c r="U18" s="295"/>
      <x:c r="V18" s="295"/>
      <x:c r="W18" s="295"/>
      <x:c r="X18" s="160"/>
      <x:c r="Y18" s="160"/>
      <x:c r="Z18" s="160"/>
    </x:row>
    <x:row r="19" ht="18" customHeight="1">
      <x:c r="A19" s="162" t="str">
        <x:f>Obras!$A18</x:f>
        <x:v>UN-14</x:v>
      </x:c>
      <x:c r="B19" s="165" t="str">
        <x:f>IF(Obras!$B18="","",Obras!$B18)</x:f>
      </x:c>
      <x:c r="C19" s="165" t="str">
        <x:f>IF(Obras!$F18="","",Obras!$F18)</x:f>
      </x:c>
      <x:c r="D19" s="166" t="str">
        <x:f>IF(Obras!$H18="","",Obras!$H18)</x:f>
      </x:c>
      <x:c r="E19" s="181" t="n">
        <x:f>COUNTIF(Lancamentos!$B$5:$B$504,$A19)</x:f>
        <x:v>0</x:v>
      </x:c>
      <x:c r="F19" s="181" t="n">
        <x:f>COUNTIFS(Lancamentos!$B$5:$B$504,$A19,Lancamentos!$E$5:$E$504,"Sim")</x:f>
        <x:v>0</x:v>
      </x:c>
      <x:c r="G19" s="181" t="n">
        <x:f>COUNTIFS(Lancamentos!$B$5:$B$504,$A19,Lancamentos!$E$5:$E$504,"Sim",Lancamentos!$K$5:$K$504,"Prioridade 1")</x:f>
        <x:v>0</x:v>
      </x:c>
      <x:c r="H19" s="181" t="n">
        <x:f>COUNTIFS(Lancamentos!$B$5:$B$504,$A19,Lancamentos!$E$5:$E$504,"Sim",Lancamentos!$K$5:$K$504,"Prioridade 2")</x:f>
        <x:v>0</x:v>
      </x:c>
      <x:c r="I19" s="181" t="n">
        <x:f>COUNTIFS(Lancamentos!$B$5:$B$504,$A19,Lancamentos!$E$5:$E$504,"Sim",Lancamentos!$K$5:$K$504,"Prioridade 3")</x:f>
        <x:v>0</x:v>
      </x:c>
      <x:c r="J19" s="181" t="n">
        <x:f>COUNTIFS(Lancamentos!$B$5:$B$504,$A19,Lancamentos!$E$5:$E$504,"Sim",Lancamentos!$M$5:$M$504,"VIGENTE")</x:f>
        <x:v>0</x:v>
      </x:c>
      <x:c r="K19" s="181" t="n">
        <x:f>COUNTIFS(Lancamentos!$B$5:$B$504,$A19,Lancamentos!$E$5:$E$504,"Sim",Lancamentos!$M$5:$M$504,"VENCE EM ATÉ 6 MESES")</x:f>
        <x:v>0</x:v>
      </x:c>
      <x:c r="L19" s="181" t="n">
        <x:f>COUNTIFS(Lancamentos!$B$5:$B$504,$A19,Lancamentos!$E$5:$E$504,"Sim",Lancamentos!$M$5:$M$504,"VENCIDA")</x:f>
        <x:v>0</x:v>
      </x:c>
      <x:c r="M19" s="181" t="n">
        <x:f>COUNTIFS(Lancamentos!$B$5:$B$504,$A19,Lancamentos!$E$5:$E$504,"Sim",Lancamentos!$L$5:$L$504,"")</x:f>
        <x:v>0</x:v>
      </x:c>
      <x:c r="N19" s="181" t="n">
        <x:f>COUNTIFS(Lancamentos!$B$5:$B$504,$A19,Lancamentos!$E$5:$E$504,"Sim",Lancamentos!$K$5:$K$504,"Prioridade 1",Lancamentos!$M$5:$M$504,"VENCIDA")</x:f>
        <x:v>0</x:v>
      </x:c>
      <x:c r="O19" s="160"/>
      <x:c r="P19" s="295"/>
      <x:c r="Q19" s="295"/>
      <x:c r="R19" s="295"/>
      <x:c r="S19" s="295"/>
      <x:c r="T19" s="295"/>
      <x:c r="U19" s="295"/>
      <x:c r="V19" s="295"/>
      <x:c r="W19" s="295"/>
      <x:c r="X19" s="160"/>
      <x:c r="Y19" s="160"/>
      <x:c r="Z19" s="160"/>
    </x:row>
    <x:row r="20" ht="18" customHeight="1">
      <x:c r="A20" s="162" t="str">
        <x:f>Obras!$A19</x:f>
        <x:v>UN-15</x:v>
      </x:c>
      <x:c r="B20" s="165" t="str">
        <x:f>IF(Obras!$B19="","",Obras!$B19)</x:f>
      </x:c>
      <x:c r="C20" s="165" t="str">
        <x:f>IF(Obras!$F19="","",Obras!$F19)</x:f>
      </x:c>
      <x:c r="D20" s="166" t="str">
        <x:f>IF(Obras!$H19="","",Obras!$H19)</x:f>
      </x:c>
      <x:c r="E20" s="181" t="n">
        <x:f>COUNTIF(Lancamentos!$B$5:$B$504,$A20)</x:f>
        <x:v>0</x:v>
      </x:c>
      <x:c r="F20" s="181" t="n">
        <x:f>COUNTIFS(Lancamentos!$B$5:$B$504,$A20,Lancamentos!$E$5:$E$504,"Sim")</x:f>
        <x:v>0</x:v>
      </x:c>
      <x:c r="G20" s="181" t="n">
        <x:f>COUNTIFS(Lancamentos!$B$5:$B$504,$A20,Lancamentos!$E$5:$E$504,"Sim",Lancamentos!$K$5:$K$504,"Prioridade 1")</x:f>
        <x:v>0</x:v>
      </x:c>
      <x:c r="H20" s="181" t="n">
        <x:f>COUNTIFS(Lancamentos!$B$5:$B$504,$A20,Lancamentos!$E$5:$E$504,"Sim",Lancamentos!$K$5:$K$504,"Prioridade 2")</x:f>
        <x:v>0</x:v>
      </x:c>
      <x:c r="I20" s="181" t="n">
        <x:f>COUNTIFS(Lancamentos!$B$5:$B$504,$A20,Lancamentos!$E$5:$E$504,"Sim",Lancamentos!$K$5:$K$504,"Prioridade 3")</x:f>
        <x:v>0</x:v>
      </x:c>
      <x:c r="J20" s="181" t="n">
        <x:f>COUNTIFS(Lancamentos!$B$5:$B$504,$A20,Lancamentos!$E$5:$E$504,"Sim",Lancamentos!$M$5:$M$504,"VIGENTE")</x:f>
        <x:v>0</x:v>
      </x:c>
      <x:c r="K20" s="181" t="n">
        <x:f>COUNTIFS(Lancamentos!$B$5:$B$504,$A20,Lancamentos!$E$5:$E$504,"Sim",Lancamentos!$M$5:$M$504,"VENCE EM ATÉ 6 MESES")</x:f>
        <x:v>0</x:v>
      </x:c>
      <x:c r="L20" s="181" t="n">
        <x:f>COUNTIFS(Lancamentos!$B$5:$B$504,$A20,Lancamentos!$E$5:$E$504,"Sim",Lancamentos!$M$5:$M$504,"VENCIDA")</x:f>
        <x:v>0</x:v>
      </x:c>
      <x:c r="M20" s="181" t="n">
        <x:f>COUNTIFS(Lancamentos!$B$5:$B$504,$A20,Lancamentos!$E$5:$E$504,"Sim",Lancamentos!$L$5:$L$504,"")</x:f>
        <x:v>0</x:v>
      </x:c>
      <x:c r="N20" s="181" t="n">
        <x:f>COUNTIFS(Lancamentos!$B$5:$B$504,$A20,Lancamentos!$E$5:$E$504,"Sim",Lancamentos!$K$5:$K$504,"Prioridade 1",Lancamentos!$M$5:$M$504,"VENCIDA")</x:f>
        <x:v>0</x:v>
      </x:c>
      <x:c r="O20" s="160"/>
      <x:c r="P20" s="295"/>
      <x:c r="Q20" s="295"/>
      <x:c r="R20" s="295"/>
      <x:c r="S20" s="295"/>
      <x:c r="T20" s="295"/>
      <x:c r="U20" s="295"/>
      <x:c r="V20" s="295"/>
      <x:c r="W20" s="295"/>
      <x:c r="X20" s="160"/>
      <x:c r="Y20" s="160"/>
      <x:c r="Z20" s="160"/>
    </x:row>
    <x:row r="21">
      <x:c r="A21" s="295"/>
      <x:c r="B21" s="295"/>
      <x:c r="C21" s="295"/>
      <x:c r="D21" s="295"/>
      <x:c r="E21" s="295"/>
      <x:c r="F21" s="295"/>
      <x:c r="G21" s="295"/>
      <x:c r="H21" s="295"/>
      <x:c r="I21" s="295"/>
      <x:c r="J21" s="295"/>
      <x:c r="K21" s="295"/>
      <x:c r="L21" s="295"/>
      <x:c r="M21" s="295"/>
      <x:c r="N21" s="295"/>
      <x:c r="O21" s="160"/>
      <x:c r="P21" s="295"/>
      <x:c r="Q21" s="295"/>
      <x:c r="R21" s="295"/>
      <x:c r="S21" s="295"/>
      <x:c r="T21" s="295"/>
      <x:c r="U21" s="295"/>
      <x:c r="V21" s="295"/>
      <x:c r="W21" s="295"/>
      <x:c r="X21" s="160"/>
      <x:c r="Y21" s="160"/>
      <x:c r="Z21" s="160"/>
    </x:row>
    <x:row r="22" ht="18" customHeight="1">
      <x:c r="A22" s="275" t="s">
        <x:v>431</x:v>
      </x:c>
      <x:c r="B22" s="296"/>
      <x:c r="C22" s="296"/>
      <x:c r="D22" s="296"/>
      <x:c r="E22" s="296"/>
      <x:c r="F22" s="296"/>
      <x:c r="G22" s="296"/>
      <x:c r="H22" s="296"/>
      <x:c r="I22" s="296"/>
      <x:c r="J22" s="296"/>
      <x:c r="K22" s="296"/>
      <x:c r="L22" s="296"/>
      <x:c r="M22" s="296"/>
      <x:c r="N22" s="296"/>
      <x:c r="O22" s="160"/>
      <x:c r="P22" s="295"/>
      <x:c r="Q22" s="295"/>
      <x:c r="R22" s="295"/>
      <x:c r="S22" s="295"/>
      <x:c r="T22" s="295"/>
      <x:c r="U22" s="295"/>
      <x:c r="V22" s="295"/>
      <x:c r="W22" s="295"/>
      <x:c r="X22" s="160"/>
      <x:c r="Y22" s="160"/>
      <x:c r="Z22" s="160"/>
    </x:row>
    <x:row r="23" ht="18" customHeight="1">
      <x:c r="A23" s="281" t="s">
        <x:v>432</x:v>
      </x:c>
      <x:c r="B23" s="297"/>
      <x:c r="C23" s="298"/>
      <x:c r="D23" s="161" t="s">
        <x:v>433</x:v>
      </x:c>
      <x:c r="E23" s="161" t="s">
        <x:v>434</x:v>
      </x:c>
      <x:c r="F23" s="297"/>
      <x:c r="G23" s="297"/>
      <x:c r="H23" s="297"/>
      <x:c r="I23" s="297"/>
      <x:c r="J23" s="297"/>
      <x:c r="K23" s="297"/>
      <x:c r="L23" s="297"/>
      <x:c r="M23" s="297"/>
      <x:c r="N23" s="298"/>
      <x:c r="O23" s="160"/>
      <x:c r="P23" s="295"/>
      <x:c r="Q23" s="295"/>
      <x:c r="R23" s="295"/>
      <x:c r="S23" s="295"/>
      <x:c r="T23" s="295"/>
      <x:c r="U23" s="295"/>
      <x:c r="V23" s="295"/>
      <x:c r="W23" s="295"/>
      <x:c r="X23" s="160"/>
      <x:c r="Y23" s="160"/>
      <x:c r="Z23" s="160"/>
    </x:row>
    <x:row r="24" ht="18.950000762939453" customHeight="1">
      <x:c r="A24" s="282" t="s">
        <x:v>435</x:v>
      </x:c>
      <x:c r="B24" s="297"/>
      <x:c r="C24" s="298"/>
      <x:c r="D24" s="287" t="n">
        <x:f>COUNTIF(Obras!$B$5:$B$19,"?*")</x:f>
        <x:v>0</x:v>
      </x:c>
      <x:c r="E24" s="165" t="s">
        <x:v>436</x:v>
      </x:c>
      <x:c r="F24" s="297"/>
      <x:c r="G24" s="297"/>
      <x:c r="H24" s="297"/>
      <x:c r="I24" s="297"/>
      <x:c r="J24" s="297"/>
      <x:c r="K24" s="297"/>
      <x:c r="L24" s="297"/>
      <x:c r="M24" s="297"/>
      <x:c r="N24" s="298"/>
      <x:c r="O24" s="160"/>
      <x:c r="P24" s="295"/>
      <x:c r="Q24" s="295"/>
      <x:c r="R24" s="295"/>
      <x:c r="S24" s="295"/>
      <x:c r="T24" s="295"/>
      <x:c r="U24" s="295"/>
      <x:c r="V24" s="295"/>
      <x:c r="W24" s="295"/>
      <x:c r="X24" s="160"/>
      <x:c r="Y24" s="160"/>
      <x:c r="Z24" s="160"/>
    </x:row>
    <x:row r="25" ht="18.950000762939453" customHeight="1">
      <x:c r="A25" s="282" t="s">
        <x:v>437</x:v>
      </x:c>
      <x:c r="B25" s="297"/>
      <x:c r="C25" s="298"/>
      <x:c r="D25" s="287" t="n">
        <x:f>COUNT(Obras!$G$5:$G$19)</x:f>
        <x:v>0</x:v>
      </x:c>
      <x:c r="E25" s="165" t="s">
        <x:v>438</x:v>
      </x:c>
      <x:c r="F25" s="297"/>
      <x:c r="G25" s="297"/>
      <x:c r="H25" s="297"/>
      <x:c r="I25" s="297"/>
      <x:c r="J25" s="297"/>
      <x:c r="K25" s="297"/>
      <x:c r="L25" s="297"/>
      <x:c r="M25" s="297"/>
      <x:c r="N25" s="298"/>
      <x:c r="O25" s="160"/>
      <x:c r="P25" s="295"/>
      <x:c r="Q25" s="295"/>
      <x:c r="R25" s="295"/>
      <x:c r="S25" s="295"/>
      <x:c r="T25" s="295"/>
      <x:c r="U25" s="295"/>
      <x:c r="V25" s="295"/>
      <x:c r="W25" s="295"/>
      <x:c r="X25" s="160"/>
      <x:c r="Y25" s="160"/>
      <x:c r="Z25" s="160"/>
    </x:row>
    <x:row r="26" ht="18.950000762939453" customHeight="1">
      <x:c r="A26" s="282" t="s">
        <x:v>439</x:v>
      </x:c>
      <x:c r="B26" s="297"/>
      <x:c r="C26" s="298"/>
      <x:c r="D26" s="287" t="n">
        <x:f>COUNTIF(Lancamentos!$B$5:$B$504,"?*")</x:f>
        <x:v>0</x:v>
      </x:c>
      <x:c r="E26" s="165" t="s">
        <x:v>440</x:v>
      </x:c>
      <x:c r="F26" s="297"/>
      <x:c r="G26" s="297"/>
      <x:c r="H26" s="297"/>
      <x:c r="I26" s="297"/>
      <x:c r="J26" s="297"/>
      <x:c r="K26" s="297"/>
      <x:c r="L26" s="297"/>
      <x:c r="M26" s="297"/>
      <x:c r="N26" s="298"/>
      <x:c r="O26" s="160"/>
      <x:c r="P26" s="295"/>
      <x:c r="Q26" s="295"/>
      <x:c r="R26" s="295"/>
      <x:c r="S26" s="295"/>
      <x:c r="T26" s="295"/>
      <x:c r="U26" s="295"/>
      <x:c r="V26" s="295"/>
      <x:c r="W26" s="295"/>
      <x:c r="X26" s="160"/>
      <x:c r="Y26" s="160"/>
      <x:c r="Z26" s="160"/>
    </x:row>
    <x:row r="27" ht="18.950000762939453" customHeight="1">
      <x:c r="A27" s="282" t="s">
        <x:v>441</x:v>
      </x:c>
      <x:c r="B27" s="297"/>
      <x:c r="C27" s="298"/>
      <x:c r="D27" s="287" t="n">
        <x:f>COUNTIF(Lancamentos!$E$5:$E$504,"Sim")</x:f>
        <x:v>0</x:v>
      </x:c>
      <x:c r="E27" s="165" t="s">
        <x:v>442</x:v>
      </x:c>
      <x:c r="F27" s="297"/>
      <x:c r="G27" s="297"/>
      <x:c r="H27" s="297"/>
      <x:c r="I27" s="297"/>
      <x:c r="J27" s="297"/>
      <x:c r="K27" s="297"/>
      <x:c r="L27" s="297"/>
      <x:c r="M27" s="297"/>
      <x:c r="N27" s="298"/>
      <x:c r="O27" s="160"/>
      <x:c r="P27" s="295"/>
      <x:c r="Q27" s="295"/>
      <x:c r="R27" s="295"/>
      <x:c r="S27" s="295"/>
      <x:c r="T27" s="295"/>
      <x:c r="U27" s="295"/>
      <x:c r="V27" s="295"/>
      <x:c r="W27" s="295"/>
      <x:c r="X27" s="160"/>
      <x:c r="Y27" s="160"/>
      <x:c r="Z27" s="160"/>
    </x:row>
    <x:row r="28" ht="18.950000762939453" customHeight="1">
      <x:c r="A28" s="282" t="s">
        <x:v>443</x:v>
      </x:c>
      <x:c r="B28" s="297"/>
      <x:c r="C28" s="298"/>
      <x:c r="D28" s="287" t="n">
        <x:f>COUNTIF(Lancamentos!$E$5:$E$504,"Não")</x:f>
        <x:v>0</x:v>
      </x:c>
      <x:c r="E28" s="165" t="s">
        <x:v>444</x:v>
      </x:c>
      <x:c r="F28" s="297"/>
      <x:c r="G28" s="297"/>
      <x:c r="H28" s="297"/>
      <x:c r="I28" s="297"/>
      <x:c r="J28" s="297"/>
      <x:c r="K28" s="297"/>
      <x:c r="L28" s="297"/>
      <x:c r="M28" s="297"/>
      <x:c r="N28" s="298"/>
      <x:c r="O28" s="160"/>
      <x:c r="P28" s="295"/>
      <x:c r="Q28" s="295"/>
      <x:c r="R28" s="295"/>
      <x:c r="S28" s="295"/>
      <x:c r="T28" s="295"/>
      <x:c r="U28" s="295"/>
      <x:c r="V28" s="295"/>
      <x:c r="W28" s="295"/>
      <x:c r="X28" s="160"/>
      <x:c r="Y28" s="160"/>
      <x:c r="Z28" s="160"/>
    </x:row>
    <x:row r="29" ht="18.950000762939453" customHeight="1">
      <x:c r="A29" s="282" t="s">
        <x:v>445</x:v>
      </x:c>
      <x:c r="B29" s="297"/>
      <x:c r="C29" s="298"/>
      <x:c r="D29" s="287" t="n">
        <x:f>COUNTIFS(Lancamentos!$E$5:$E$504,"Sim",Lancamentos!$K$5:$K$504,"Prioridade 1")</x:f>
        <x:v>0</x:v>
      </x:c>
      <x:c r="E29" s="165" t="s">
        <x:v>446</x:v>
      </x:c>
      <x:c r="F29" s="297"/>
      <x:c r="G29" s="297"/>
      <x:c r="H29" s="297"/>
      <x:c r="I29" s="297"/>
      <x:c r="J29" s="297"/>
      <x:c r="K29" s="297"/>
      <x:c r="L29" s="297"/>
      <x:c r="M29" s="297"/>
      <x:c r="N29" s="298"/>
      <x:c r="O29" s="160"/>
      <x:c r="P29" s="295"/>
      <x:c r="Q29" s="295"/>
      <x:c r="R29" s="295"/>
      <x:c r="S29" s="295"/>
      <x:c r="T29" s="295"/>
      <x:c r="U29" s="295"/>
      <x:c r="V29" s="295"/>
      <x:c r="W29" s="295"/>
      <x:c r="X29" s="160"/>
      <x:c r="Y29" s="160"/>
      <x:c r="Z29" s="160"/>
    </x:row>
    <x:row r="30" ht="18.950000762939453" customHeight="1">
      <x:c r="A30" s="282" t="s">
        <x:v>447</x:v>
      </x:c>
      <x:c r="B30" s="297"/>
      <x:c r="C30" s="298"/>
      <x:c r="D30" s="287" t="n">
        <x:f>COUNTIFS(Lancamentos!$E$5:$E$504,"Sim",Lancamentos!$K$5:$K$504,"Prioridade 2")</x:f>
        <x:v>0</x:v>
      </x:c>
      <x:c r="E30" s="165" t="s">
        <x:v>448</x:v>
      </x:c>
      <x:c r="F30" s="297"/>
      <x:c r="G30" s="297"/>
      <x:c r="H30" s="297"/>
      <x:c r="I30" s="297"/>
      <x:c r="J30" s="297"/>
      <x:c r="K30" s="297"/>
      <x:c r="L30" s="297"/>
      <x:c r="M30" s="297"/>
      <x:c r="N30" s="298"/>
      <x:c r="O30" s="160"/>
      <x:c r="P30" s="295"/>
      <x:c r="Q30" s="295"/>
      <x:c r="R30" s="295"/>
      <x:c r="S30" s="295"/>
      <x:c r="T30" s="295"/>
      <x:c r="U30" s="295"/>
      <x:c r="V30" s="295"/>
      <x:c r="W30" s="295"/>
      <x:c r="X30" s="160"/>
      <x:c r="Y30" s="160"/>
      <x:c r="Z30" s="160"/>
    </x:row>
    <x:row r="31" ht="18.950000762939453" customHeight="1">
      <x:c r="A31" s="282" t="s">
        <x:v>449</x:v>
      </x:c>
      <x:c r="B31" s="297"/>
      <x:c r="C31" s="298"/>
      <x:c r="D31" s="287" t="n">
        <x:f>COUNTIFS(Lancamentos!$E$5:$E$504,"Sim",Lancamentos!$K$5:$K$504,"Prioridade 3")</x:f>
        <x:v>0</x:v>
      </x:c>
      <x:c r="E31" s="165" t="s">
        <x:v>450</x:v>
      </x:c>
      <x:c r="F31" s="297"/>
      <x:c r="G31" s="297"/>
      <x:c r="H31" s="297"/>
      <x:c r="I31" s="297"/>
      <x:c r="J31" s="297"/>
      <x:c r="K31" s="297"/>
      <x:c r="L31" s="297"/>
      <x:c r="M31" s="297"/>
      <x:c r="N31" s="298"/>
      <x:c r="O31" s="160"/>
      <x:c r="P31" s="295"/>
      <x:c r="Q31" s="295"/>
      <x:c r="R31" s="295"/>
      <x:c r="S31" s="295"/>
      <x:c r="T31" s="295"/>
      <x:c r="U31" s="295"/>
      <x:c r="V31" s="295"/>
      <x:c r="W31" s="295"/>
      <x:c r="X31" s="160"/>
      <x:c r="Y31" s="160"/>
      <x:c r="Z31" s="160"/>
    </x:row>
    <x:row r="32" ht="18.950000762939453" customHeight="1">
      <x:c r="A32" s="282" t="s">
        <x:v>451</x:v>
      </x:c>
      <x:c r="B32" s="297"/>
      <x:c r="C32" s="298"/>
      <x:c r="D32" s="287" t="n">
        <x:f>COUNTIFS(Lancamentos!$E$5:$E$504,"Sim",Lancamentos!$M$5:$M$504,"VIGENTE")</x:f>
        <x:v>0</x:v>
      </x:c>
      <x:c r="E32" s="165" t="s">
        <x:v>452</x:v>
      </x:c>
      <x:c r="F32" s="297"/>
      <x:c r="G32" s="297"/>
      <x:c r="H32" s="297"/>
      <x:c r="I32" s="297"/>
      <x:c r="J32" s="297"/>
      <x:c r="K32" s="297"/>
      <x:c r="L32" s="297"/>
      <x:c r="M32" s="297"/>
      <x:c r="N32" s="298"/>
      <x:c r="O32" s="160"/>
      <x:c r="P32" s="295"/>
      <x:c r="Q32" s="295"/>
      <x:c r="R32" s="295"/>
      <x:c r="S32" s="295"/>
      <x:c r="T32" s="295"/>
      <x:c r="U32" s="295"/>
      <x:c r="V32" s="295"/>
      <x:c r="W32" s="295"/>
      <x:c r="X32" s="160"/>
      <x:c r="Y32" s="160"/>
      <x:c r="Z32" s="160"/>
    </x:row>
    <x:row r="33" ht="18.950000762939453" customHeight="1">
      <x:c r="A33" s="282" t="s">
        <x:v>453</x:v>
      </x:c>
      <x:c r="B33" s="297"/>
      <x:c r="C33" s="298"/>
      <x:c r="D33" s="287" t="n">
        <x:f>COUNTIFS(Lancamentos!$E$5:$E$504,"Sim",Lancamentos!$M$5:$M$504,"VENCE EM ATÉ 6 MESES")</x:f>
        <x:v>0</x:v>
      </x:c>
      <x:c r="E33" s="165" t="s">
        <x:v>454</x:v>
      </x:c>
      <x:c r="F33" s="297"/>
      <x:c r="G33" s="297"/>
      <x:c r="H33" s="297"/>
      <x:c r="I33" s="297"/>
      <x:c r="J33" s="297"/>
      <x:c r="K33" s="297"/>
      <x:c r="L33" s="297"/>
      <x:c r="M33" s="297"/>
      <x:c r="N33" s="298"/>
      <x:c r="O33" s="160"/>
      <x:c r="P33" s="295"/>
      <x:c r="Q33" s="295"/>
      <x:c r="R33" s="295"/>
      <x:c r="S33" s="295"/>
      <x:c r="T33" s="295"/>
      <x:c r="U33" s="295"/>
      <x:c r="V33" s="295"/>
      <x:c r="W33" s="295"/>
      <x:c r="X33" s="160"/>
      <x:c r="Y33" s="160"/>
      <x:c r="Z33" s="160"/>
    </x:row>
    <x:row r="34" ht="18.950000762939453" customHeight="1">
      <x:c r="A34" s="282" t="s">
        <x:v>455</x:v>
      </x:c>
      <x:c r="B34" s="297"/>
      <x:c r="C34" s="298"/>
      <x:c r="D34" s="287" t="n">
        <x:f>COUNTIFS(Lancamentos!$E$5:$E$504,"Sim",Lancamentos!$M$5:$M$504,"VENCIDA")</x:f>
        <x:v>0</x:v>
      </x:c>
      <x:c r="E34" s="165" t="s">
        <x:v>456</x:v>
      </x:c>
      <x:c r="F34" s="297"/>
      <x:c r="G34" s="297"/>
      <x:c r="H34" s="297"/>
      <x:c r="I34" s="297"/>
      <x:c r="J34" s="297"/>
      <x:c r="K34" s="297"/>
      <x:c r="L34" s="297"/>
      <x:c r="M34" s="297"/>
      <x:c r="N34" s="298"/>
      <x:c r="O34" s="160"/>
      <x:c r="P34" s="295"/>
      <x:c r="Q34" s="295"/>
      <x:c r="R34" s="295"/>
      <x:c r="S34" s="295"/>
      <x:c r="T34" s="295"/>
      <x:c r="U34" s="295"/>
      <x:c r="V34" s="295"/>
      <x:c r="W34" s="295"/>
      <x:c r="X34" s="160"/>
      <x:c r="Y34" s="160"/>
      <x:c r="Z34" s="160"/>
    </x:row>
    <x:row r="35" ht="18.950000762939453" customHeight="1">
      <x:c r="A35" s="282" t="s">
        <x:v>457</x:v>
      </x:c>
      <x:c r="B35" s="297"/>
      <x:c r="C35" s="298"/>
      <x:c r="D35" s="287" t="n">
        <x:f>COUNTIFS(Lancamentos!$E$5:$E$504,"Sim",Lancamentos!$L$5:$L$504,"")</x:f>
        <x:v>0</x:v>
      </x:c>
      <x:c r="E35" s="165" t="s">
        <x:v>458</x:v>
      </x:c>
      <x:c r="F35" s="297"/>
      <x:c r="G35" s="297"/>
      <x:c r="H35" s="297"/>
      <x:c r="I35" s="297"/>
      <x:c r="J35" s="297"/>
      <x:c r="K35" s="297"/>
      <x:c r="L35" s="297"/>
      <x:c r="M35" s="297"/>
      <x:c r="N35" s="298"/>
      <x:c r="O35" s="160"/>
      <x:c r="P35" s="295"/>
      <x:c r="Q35" s="295"/>
      <x:c r="R35" s="295"/>
      <x:c r="S35" s="295"/>
      <x:c r="T35" s="295"/>
      <x:c r="U35" s="295"/>
      <x:c r="V35" s="295"/>
      <x:c r="W35" s="295"/>
      <x:c r="X35" s="160"/>
      <x:c r="Y35" s="160"/>
      <x:c r="Z35" s="160"/>
    </x:row>
    <x:row r="36" ht="18.950000762939453" customHeight="1">
      <x:c r="A36" s="282" t="s">
        <x:v>459</x:v>
      </x:c>
      <x:c r="B36" s="297"/>
      <x:c r="C36" s="298"/>
      <x:c r="D36" s="287" t="str">
        <x:f>IF(COUNT(Lancamentos!$J$5:$J$504)=0,"",MAX(Lancamentos!$J$5:$J$504))</x:f>
      </x:c>
      <x:c r="E36" s="165" t="s">
        <x:v>460</x:v>
      </x:c>
      <x:c r="F36" s="297"/>
      <x:c r="G36" s="297"/>
      <x:c r="H36" s="297"/>
      <x:c r="I36" s="297"/>
      <x:c r="J36" s="297"/>
      <x:c r="K36" s="297"/>
      <x:c r="L36" s="297"/>
      <x:c r="M36" s="297"/>
      <x:c r="N36" s="298"/>
      <x:c r="O36" s="160"/>
      <x:c r="P36" s="295"/>
      <x:c r="Q36" s="295"/>
      <x:c r="R36" s="295"/>
      <x:c r="S36" s="295"/>
      <x:c r="T36" s="295"/>
      <x:c r="U36" s="295"/>
      <x:c r="V36" s="295"/>
      <x:c r="W36" s="295"/>
      <x:c r="X36" s="160"/>
      <x:c r="Y36" s="160"/>
      <x:c r="Z36" s="160"/>
    </x:row>
    <x:row r="37" ht="18.950000762939453" customHeight="1">
      <x:c r="A37" s="282" t="s">
        <x:v>461</x:v>
      </x:c>
      <x:c r="B37" s="297"/>
      <x:c r="C37" s="298"/>
      <x:c r="D37" s="288" t="str">
        <x:f>IF($D$27=0,"",$D$34/$D$27)</x:f>
      </x:c>
      <x:c r="E37" s="165" t="s">
        <x:v>462</x:v>
      </x:c>
      <x:c r="F37" s="297"/>
      <x:c r="G37" s="297"/>
      <x:c r="H37" s="297"/>
      <x:c r="I37" s="297"/>
      <x:c r="J37" s="297"/>
      <x:c r="K37" s="297"/>
      <x:c r="L37" s="297"/>
      <x:c r="M37" s="297"/>
      <x:c r="N37" s="298"/>
      <x:c r="O37" s="160"/>
      <x:c r="P37" s="295"/>
      <x:c r="Q37" s="295"/>
      <x:c r="R37" s="295"/>
      <x:c r="S37" s="295"/>
      <x:c r="T37" s="295"/>
      <x:c r="U37" s="295"/>
      <x:c r="V37" s="295"/>
      <x:c r="W37" s="295"/>
      <x:c r="X37" s="160"/>
      <x:c r="Y37" s="160"/>
      <x:c r="Z37" s="160"/>
    </x:row>
    <x:row r="38" ht="18.950000762939453" customHeight="1">
      <x:c r="A38" s="282" t="s">
        <x:v>463</x:v>
      </x:c>
      <x:c r="B38" s="297"/>
      <x:c r="C38" s="298"/>
      <x:c r="D38" s="288" t="str">
        <x:f>IF($D$27=0,"",$D$29/$D$27)</x:f>
      </x:c>
      <x:c r="E38" s="165" t="s">
        <x:v>464</x:v>
      </x:c>
      <x:c r="F38" s="297"/>
      <x:c r="G38" s="297"/>
      <x:c r="H38" s="297"/>
      <x:c r="I38" s="297"/>
      <x:c r="J38" s="297"/>
      <x:c r="K38" s="297"/>
      <x:c r="L38" s="297"/>
      <x:c r="M38" s="297"/>
      <x:c r="N38" s="298"/>
      <x:c r="O38" s="160"/>
      <x:c r="P38" s="295"/>
      <x:c r="Q38" s="295"/>
      <x:c r="R38" s="295"/>
      <x:c r="S38" s="295"/>
      <x:c r="T38" s="295"/>
      <x:c r="U38" s="295"/>
      <x:c r="V38" s="295"/>
      <x:c r="W38" s="295"/>
      <x:c r="X38" s="160"/>
      <x:c r="Y38" s="160"/>
      <x:c r="Z38" s="160"/>
    </x:row>
    <x:row r="39">
      <x:c r="A39" s="295"/>
      <x:c r="B39" s="295"/>
      <x:c r="C39" s="295"/>
      <x:c r="D39" s="295"/>
      <x:c r="E39" s="295"/>
      <x:c r="F39" s="295"/>
      <x:c r="G39" s="295"/>
      <x:c r="H39" s="295"/>
      <x:c r="I39" s="295"/>
      <x:c r="J39" s="295"/>
      <x:c r="K39" s="295"/>
      <x:c r="L39" s="295"/>
      <x:c r="M39" s="295"/>
      <x:c r="N39" s="295"/>
      <x:c r="O39" s="160"/>
      <x:c r="P39" s="295"/>
      <x:c r="Q39" s="295"/>
      <x:c r="R39" s="295"/>
      <x:c r="S39" s="295"/>
      <x:c r="T39" s="295"/>
      <x:c r="U39" s="295"/>
      <x:c r="V39" s="295"/>
      <x:c r="W39" s="295"/>
      <x:c r="X39" s="160"/>
      <x:c r="Y39" s="160"/>
      <x:c r="Z39" s="160"/>
    </x:row>
    <x:row r="40" ht="18" customHeight="1">
      <x:c r="A40" s="275" t="s">
        <x:v>465</x:v>
      </x:c>
      <x:c r="B40" s="296"/>
      <x:c r="C40" s="296"/>
      <x:c r="D40" s="296"/>
      <x:c r="E40" s="296"/>
      <x:c r="F40" s="296"/>
      <x:c r="G40" s="296"/>
      <x:c r="H40" s="296"/>
      <x:c r="I40" s="296"/>
      <x:c r="J40" s="296"/>
      <x:c r="K40" s="296"/>
      <x:c r="L40" s="296"/>
      <x:c r="M40" s="296"/>
      <x:c r="N40" s="296"/>
      <x:c r="O40" s="160"/>
      <x:c r="P40" s="295"/>
      <x:c r="Q40" s="295"/>
      <x:c r="R40" s="295"/>
      <x:c r="S40" s="295"/>
      <x:c r="T40" s="295"/>
      <x:c r="U40" s="295"/>
      <x:c r="V40" s="295"/>
      <x:c r="W40" s="295"/>
      <x:c r="X40" s="160"/>
      <x:c r="Y40" s="160"/>
      <x:c r="Z40" s="160"/>
    </x:row>
    <x:row r="41" ht="31.899999618530273" customHeight="1">
      <x:c r="A41" s="168" t="s">
        <x:v>466</x:v>
      </x:c>
      <x:c r="B41" s="295"/>
      <x:c r="C41" s="295"/>
      <x:c r="D41" s="295"/>
      <x:c r="E41" s="295"/>
      <x:c r="F41" s="295"/>
      <x:c r="G41" s="295"/>
      <x:c r="H41" s="295"/>
      <x:c r="I41" s="295"/>
      <x:c r="J41" s="295"/>
      <x:c r="K41" s="295"/>
      <x:c r="L41" s="295"/>
      <x:c r="M41" s="295"/>
      <x:c r="N41" s="295"/>
      <x:c r="O41" s="160"/>
      <x:c r="P41" s="295"/>
      <x:c r="Q41" s="295"/>
      <x:c r="R41" s="295"/>
      <x:c r="S41" s="295"/>
      <x:c r="T41" s="295"/>
      <x:c r="U41" s="295"/>
      <x:c r="V41" s="295"/>
      <x:c r="W41" s="295"/>
      <x:c r="X41" s="160"/>
      <x:c r="Y41" s="160"/>
      <x:c r="Z41" s="160"/>
    </x:row>
    <x:row r="42" ht="18.950000762939453" customHeight="1">
      <x:c r="A42" s="317" t="s">
        <x:v>467</x:v>
      </x:c>
      <x:c r="B42" s="318"/>
      <x:c r="C42" s="319"/>
      <x:c r="D42" s="320" t="n">
        <x:f>COUNTIFS(Lancamentos!$E$5:$E$504,"Sim",Lancamentos!$K$5:$K$504,"Prioridade 1",Lancamentos!$M$5:$M$504,"VENCIDA")</x:f>
        <x:v>0</x:v>
      </x:c>
      <x:c r="E42" s="317" t="s">
        <x:v>468</x:v>
      </x:c>
      <x:c r="F42" s="297"/>
      <x:c r="G42" s="297"/>
      <x:c r="H42" s="297"/>
      <x:c r="I42" s="297"/>
      <x:c r="J42" s="297"/>
      <x:c r="K42" s="297"/>
      <x:c r="L42" s="297"/>
      <x:c r="M42" s="297"/>
      <x:c r="N42" s="298"/>
      <x:c r="O42" s="160"/>
      <x:c r="P42" s="295"/>
      <x:c r="Q42" s="295"/>
      <x:c r="R42" s="295"/>
      <x:c r="S42" s="295"/>
      <x:c r="T42" s="295"/>
      <x:c r="U42" s="295"/>
      <x:c r="V42" s="295"/>
      <x:c r="W42" s="295"/>
      <x:c r="X42" s="160"/>
      <x:c r="Y42" s="160"/>
      <x:c r="Z42" s="160"/>
    </x:row>
    <x:row r="43" ht="18.950000762939453" customHeight="1">
      <x:c r="A43" s="317" t="s">
        <x:v>469</x:v>
      </x:c>
      <x:c r="B43" s="318"/>
      <x:c r="C43" s="319"/>
      <x:c r="D43" s="321" t="str">
        <x:f>IF($D$27=0,"",$D$42/$D$27)</x:f>
      </x:c>
      <x:c r="E43" s="317" t="s">
        <x:v>470</x:v>
      </x:c>
      <x:c r="F43" s="297"/>
      <x:c r="G43" s="297"/>
      <x:c r="H43" s="297"/>
      <x:c r="I43" s="297"/>
      <x:c r="J43" s="297"/>
      <x:c r="K43" s="297"/>
      <x:c r="L43" s="297"/>
      <x:c r="M43" s="297"/>
      <x:c r="N43" s="298"/>
      <x:c r="O43" s="160"/>
      <x:c r="P43" s="295"/>
      <x:c r="Q43" s="295"/>
      <x:c r="R43" s="295"/>
      <x:c r="S43" s="295"/>
      <x:c r="T43" s="295"/>
      <x:c r="U43" s="295"/>
      <x:c r="V43" s="295"/>
      <x:c r="W43" s="295"/>
      <x:c r="X43" s="160"/>
      <x:c r="Y43" s="160"/>
      <x:c r="Z43" s="160"/>
    </x:row>
    <x:row r="44" ht="18.950000762939453" customHeight="1">
      <x:c r="A44" s="317" t="s">
        <x:v>471</x:v>
      </x:c>
      <x:c r="B44" s="318"/>
      <x:c r="C44" s="319"/>
      <x:c r="D44" s="321" t="str">
        <x:f>IF($D$29=0,"",$D$42/$D$29)</x:f>
      </x:c>
      <x:c r="E44" s="317" t="s">
        <x:v>472</x:v>
      </x:c>
      <x:c r="F44" s="297"/>
      <x:c r="G44" s="297"/>
      <x:c r="H44" s="297"/>
      <x:c r="I44" s="297"/>
      <x:c r="J44" s="297"/>
      <x:c r="K44" s="297"/>
      <x:c r="L44" s="297"/>
      <x:c r="M44" s="297"/>
      <x:c r="N44" s="298"/>
      <x:c r="O44" s="160"/>
      <x:c r="P44" s="295"/>
      <x:c r="Q44" s="295"/>
      <x:c r="R44" s="295"/>
      <x:c r="S44" s="295"/>
      <x:c r="T44" s="295"/>
      <x:c r="U44" s="295"/>
      <x:c r="V44" s="295"/>
      <x:c r="W44" s="295"/>
      <x:c r="X44" s="160"/>
      <x:c r="Y44" s="160"/>
      <x:c r="Z44" s="160"/>
    </x:row>
    <x:row r="45" ht="18.950000762939453" customHeight="1">
      <x:c r="A45" s="317" t="s">
        <x:v>473</x:v>
      </x:c>
      <x:c r="B45" s="318"/>
      <x:c r="C45" s="319"/>
      <x:c r="D45" s="321" t="str">
        <x:f>IF($D$34=0,"",$D$42/$D$34)</x:f>
      </x:c>
      <x:c r="E45" s="317" t="s">
        <x:v>474</x:v>
      </x:c>
      <x:c r="F45" s="297"/>
      <x:c r="G45" s="297"/>
      <x:c r="H45" s="297"/>
      <x:c r="I45" s="297"/>
      <x:c r="J45" s="297"/>
      <x:c r="K45" s="297"/>
      <x:c r="L45" s="297"/>
      <x:c r="M45" s="297"/>
      <x:c r="N45" s="298"/>
      <x:c r="O45" s="160"/>
      <x:c r="P45" s="295"/>
      <x:c r="Q45" s="295"/>
      <x:c r="R45" s="295"/>
      <x:c r="S45" s="295"/>
      <x:c r="T45" s="295"/>
      <x:c r="U45" s="295"/>
      <x:c r="V45" s="295"/>
      <x:c r="W45" s="295"/>
      <x:c r="X45" s="160"/>
      <x:c r="Y45" s="160"/>
      <x:c r="Z45" s="160"/>
    </x:row>
    <x:row r="46">
      <x:c r="A46" s="295"/>
      <x:c r="B46" s="295"/>
      <x:c r="C46" s="295"/>
      <x:c r="D46" s="295"/>
      <x:c r="E46" s="295"/>
      <x:c r="F46" s="295"/>
      <x:c r="G46" s="295"/>
      <x:c r="H46" s="295"/>
      <x:c r="I46" s="295"/>
      <x:c r="J46" s="295"/>
      <x:c r="K46" s="295"/>
      <x:c r="L46" s="295"/>
      <x:c r="M46" s="295"/>
      <x:c r="N46" s="295"/>
      <x:c r="O46" s="160"/>
      <x:c r="P46" s="296" t="str">
        <x:v>LEGENDA VISUAL</x:v>
      </x:c>
      <x:c r="Q46" s="296"/>
      <x:c r="R46" s="296"/>
      <x:c r="S46" s="296"/>
      <x:c r="T46" s="296"/>
      <x:c r="U46" s="296"/>
      <x:c r="V46" s="296"/>
      <x:c r="W46" s="296"/>
      <x:c r="X46" s="160"/>
      <x:c r="Y46" s="160"/>
      <x:c r="Z46" s="160"/>
    </x:row>
    <x:row r="47" ht="18" customHeight="1">
      <x:c r="A47" s="275" t="s">
        <x:v>475</x:v>
      </x:c>
      <x:c r="B47" s="296"/>
      <x:c r="C47" s="296"/>
      <x:c r="D47" s="296"/>
      <x:c r="E47" s="296"/>
      <x:c r="F47" s="296"/>
      <x:c r="G47" s="296"/>
      <x:c r="H47" s="296"/>
      <x:c r="I47" s="296"/>
      <x:c r="J47" s="296"/>
      <x:c r="K47" s="296"/>
      <x:c r="L47" s="296"/>
      <x:c r="M47" s="296"/>
      <x:c r="N47" s="296"/>
      <x:c r="O47" s="160"/>
      <x:c r="P47" s="476" t="str">
        <x:v>Verde</x:v>
      </x:c>
      <x:c r="Q47" s="295" t="str">
        <x:v>Vigente / menor criticidade</x:v>
      </x:c>
      <x:c r="R47" s="295"/>
      <x:c r="S47" s="295"/>
      <x:c r="T47" s="295"/>
      <x:c r="U47" s="295"/>
      <x:c r="V47" s="295"/>
      <x:c r="W47" s="295"/>
      <x:c r="X47" s="160"/>
      <x:c r="Y47" s="160"/>
      <x:c r="Z47" s="160"/>
    </x:row>
    <x:row r="48" ht="18.950000762939453" customHeight="1">
      <x:c r="A48" s="174" t="s">
        <x:v>476</x:v>
      </x:c>
      <x:c r="B48" s="297"/>
      <x:c r="C48" s="298"/>
      <x:c r="D48" s="181" t="n">
        <x:f>COUNTIF(Obras!$F$5:$F$19,"NBR 17170:2022")</x:f>
        <x:v>0</x:v>
      </x:c>
      <x:c r="E48" s="165" t="s">
        <x:v>477</x:v>
      </x:c>
      <x:c r="F48" s="297"/>
      <x:c r="G48" s="297"/>
      <x:c r="H48" s="297"/>
      <x:c r="I48" s="297"/>
      <x:c r="J48" s="297"/>
      <x:c r="K48" s="297"/>
      <x:c r="L48" s="297"/>
      <x:c r="M48" s="297"/>
      <x:c r="N48" s="298"/>
      <x:c r="O48" s="160"/>
      <x:c r="P48" s="477" t="str">
        <x:v>Amarelo</x:v>
      </x:c>
      <x:c r="Q48" s="295" t="str">
        <x:v>Atenção / prazo crítico</x:v>
      </x:c>
      <x:c r="R48" s="295"/>
      <x:c r="S48" s="295"/>
      <x:c r="T48" s="295"/>
      <x:c r="U48" s="295"/>
      <x:c r="V48" s="295"/>
      <x:c r="W48" s="295"/>
      <x:c r="X48" s="160"/>
      <x:c r="Y48" s="160"/>
      <x:c r="Z48" s="160"/>
    </x:row>
    <x:row r="49" ht="18.950000762939453" customHeight="1">
      <x:c r="A49" s="174" t="s">
        <x:v>478</x:v>
      </x:c>
      <x:c r="B49" s="297"/>
      <x:c r="C49" s="298"/>
      <x:c r="D49" s="181" t="n">
        <x:f>COUNTIF(Obras!$F$5:$F$19,"Regime anterior*")</x:f>
        <x:v>0</x:v>
      </x:c>
      <x:c r="E49" s="165" t="s">
        <x:v>479</x:v>
      </x:c>
      <x:c r="F49" s="297"/>
      <x:c r="G49" s="297"/>
      <x:c r="H49" s="297"/>
      <x:c r="I49" s="297"/>
      <x:c r="J49" s="297"/>
      <x:c r="K49" s="297"/>
      <x:c r="L49" s="297"/>
      <x:c r="M49" s="297"/>
      <x:c r="N49" s="298"/>
      <x:c r="O49" s="160"/>
      <x:c r="P49" s="478" t="str">
        <x:v>Vermelho</x:v>
      </x:c>
      <x:c r="Q49" s="295" t="str">
        <x:v>Vencida / alta prioridade</x:v>
      </x:c>
      <x:c r="R49" s="295"/>
      <x:c r="S49" s="295"/>
      <x:c r="T49" s="295"/>
      <x:c r="U49" s="295"/>
      <x:c r="V49" s="295"/>
      <x:c r="W49" s="295"/>
      <x:c r="X49" s="160"/>
      <x:c r="Y49" s="160"/>
      <x:c r="Z49" s="160"/>
    </x:row>
    <x:row r="50" ht="18.950000762939453" customHeight="1">
      <x:c r="A50" s="174" t="s">
        <x:v>480</x:v>
      </x:c>
      <x:c r="B50" s="297"/>
      <x:c r="C50" s="298"/>
      <x:c r="D50" s="181" t="n">
        <x:f>COUNTIF(Obras!$B$5:$B$19,"?*")-$D$48-$D$49</x:f>
        <x:v>0</x:v>
      </x:c>
      <x:c r="E50" s="165" t="s">
        <x:v>481</x:v>
      </x:c>
      <x:c r="F50" s="297"/>
      <x:c r="G50" s="297"/>
      <x:c r="H50" s="297"/>
      <x:c r="I50" s="297"/>
      <x:c r="J50" s="297"/>
      <x:c r="K50" s="297"/>
      <x:c r="L50" s="297"/>
      <x:c r="M50" s="297"/>
      <x:c r="N50" s="298"/>
      <x:c r="O50" s="160"/>
      <x:c r="P50" s="295"/>
      <x:c r="Q50" s="295"/>
      <x:c r="R50" s="295"/>
      <x:c r="S50" s="295"/>
      <x:c r="T50" s="295"/>
      <x:c r="U50" s="295"/>
      <x:c r="V50" s="295"/>
      <x:c r="W50" s="295"/>
      <x:c r="X50" s="160"/>
      <x:c r="Y50" s="160"/>
      <x:c r="Z50" s="160"/>
    </x:row>
    <x:row r="51" ht="18.950000762939453" customHeight="1">
      <x:c r="A51" s="174" t="s">
        <x:v>482</x:v>
      </x:c>
      <x:c r="B51" s="297"/>
      <x:c r="C51" s="298"/>
      <x:c r="D51" s="180" t="n">
        <x:f>DATE(2022,12,12)+180</x:f>
        <x:v>45087</x:v>
      </x:c>
      <x:c r="E51" s="165" t="s">
        <x:v>483</x:v>
      </x:c>
      <x:c r="F51" s="297"/>
      <x:c r="G51" s="297"/>
      <x:c r="H51" s="297"/>
      <x:c r="I51" s="297"/>
      <x:c r="J51" s="297"/>
      <x:c r="K51" s="297"/>
      <x:c r="L51" s="297"/>
      <x:c r="M51" s="297"/>
      <x:c r="N51" s="298"/>
      <x:c r="O51" s="160"/>
      <x:c r="P51" s="295"/>
      <x:c r="Q51" s="295"/>
      <x:c r="R51" s="295"/>
      <x:c r="S51" s="295"/>
      <x:c r="T51" s="295"/>
      <x:c r="U51" s="295"/>
      <x:c r="V51" s="295"/>
      <x:c r="W51" s="295"/>
      <x:c r="X51" s="160"/>
      <x:c r="Y51" s="160"/>
      <x:c r="Z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E51:N51"/>
    <x:mergeCell ref="A24:C24"/>
    <x:mergeCell ref="E28:N28"/>
    <x:mergeCell ref="A51:C51"/>
    <x:mergeCell ref="A36:C36"/>
    <x:mergeCell ref="A49:C49"/>
    <x:mergeCell ref="E31:N31"/>
    <x:mergeCell ref="A45:C45"/>
    <x:mergeCell ref="E34:N34"/>
    <x:mergeCell ref="E30:N30"/>
    <x:mergeCell ref="E23:N23"/>
    <x:mergeCell ref="A44:C44"/>
    <x:mergeCell ref="E48:N48"/>
    <x:mergeCell ref="A31:C31"/>
    <x:mergeCell ref="A2:N2"/>
    <x:mergeCell ref="E44:N44"/>
    <x:mergeCell ref="E29:N29"/>
    <x:mergeCell ref="A30:C30"/>
    <x:mergeCell ref="E35:N35"/>
    <x:mergeCell ref="A34:C34"/>
    <x:mergeCell ref="E38:N38"/>
    <x:mergeCell ref="A47:N47"/>
    <x:mergeCell ref="A48:C48"/>
    <x:mergeCell ref="A22:N22"/>
    <x:mergeCell ref="A4:N4"/>
    <x:mergeCell ref="A50:C50"/>
    <x:mergeCell ref="A26:C26"/>
    <x:mergeCell ref="E32:N32"/>
    <x:mergeCell ref="A1:N1"/>
    <x:mergeCell ref="A42:C42"/>
    <x:mergeCell ref="A33:C33"/>
    <x:mergeCell ref="E37:N37"/>
    <x:mergeCell ref="A23:C23"/>
    <x:mergeCell ref="A32:C32"/>
    <x:mergeCell ref="E50:N50"/>
    <x:mergeCell ref="A41:N41"/>
    <x:mergeCell ref="E43:N43"/>
    <x:mergeCell ref="A29:C29"/>
    <x:mergeCell ref="A35:C35"/>
    <x:mergeCell ref="A43:C43"/>
    <x:mergeCell ref="E24:N24"/>
    <x:mergeCell ref="E49:N49"/>
    <x:mergeCell ref="A37:C37"/>
    <x:mergeCell ref="E26:N26"/>
    <x:mergeCell ref="A27:C27"/>
    <x:mergeCell ref="E25:N25"/>
    <x:mergeCell ref="A38:C38"/>
    <x:mergeCell ref="E42:N42"/>
    <x:mergeCell ref="E33:N33"/>
    <x:mergeCell ref="A28:C28"/>
    <x:mergeCell ref="E36:N36"/>
    <x:mergeCell ref="A25:C25"/>
    <x:mergeCell ref="A40:N40"/>
    <x:mergeCell ref="E27:N27"/>
    <x:mergeCell ref="E45:N45"/>
    <x:mergeCell ref="P46:W46"/>
  </x:mergeCells>
  <x:conditionalFormatting sqref="L6:L20">
    <x:cfRule type="expression" dxfId="1" priority="1">
      <x:formula>$L6&gt;0</x:formula>
    </x:cfRule>
  </x:conditionalFormatting>
  <x:conditionalFormatting sqref="N6:N20">
    <x:cfRule type="expression" dxfId="0" priority="2">
      <x:formula>$N6&gt;0</x:formula>
    </x:cfRule>
  </x:conditionalFormatting>
  <x:pageMargins left="0.7" right="0.7" top="0.75" bottom="0.75" header="0.3" footer="0.3"/>
  <x:drawing xmlns:r="http://schemas.openxmlformats.org/officeDocument/2006/relationships" r:id="Ra887a3d380d74d9d"/>
</x:worksheet>
</file>

<file path=xl/worksheets/sheet5.xml><?xml version="1.0" encoding="utf-8"?>
<x:worksheet xmlns:x="http://schemas.openxmlformats.org/spreadsheetml/2006/main">
  <x:sheetFormatPr defaultColWidth="8.7109375" defaultRowHeight="15"/>
  <x:cols>
    <x:col min="1" max="1" width="15" hidden="0" customWidth="1"/>
    <x:col min="2" max="2" width="40" hidden="0" customWidth="1"/>
    <x:col min="3" max="3" width="70" hidden="0" customWidth="1"/>
  </x:cols>
  <x:sheetData>
    <x:row r="1" ht="15.75" customHeight="1">
      <x:c r="A1" s="197" t="s">
        <x:v>484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60" customHeight="1">
      <x:c r="A2" s="198" t="s">
        <x:v>485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15" customHeight="1">
      <x:c r="A4" s="328" t="s">
        <x:v>486</x:v>
      </x:c>
      <x:c r="B4" s="328" t="s">
        <x:v>487</x:v>
      </x:c>
      <x:c r="C4" s="328" t="s">
        <x:v>488</x:v>
      </x:c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27.75" customHeight="1">
      <x:c r="A5" s="331" t="s">
        <x:v>489</x:v>
      </x:c>
      <x:c r="B5" s="201" t="s">
        <x:v>490</x:v>
      </x:c>
      <x:c r="C5" s="201" t="s">
        <x:v>491</x:v>
      </x:c>
      <x:c r="D5" s="160"/>
      <x:c r="E5" s="160"/>
      <x:c r="F5" s="160"/>
      <x:c r="G5" s="160"/>
      <x:c r="H5" s="160"/>
      <x:c r="I5" s="160"/>
      <x:c r="J5" s="160"/>
      <x:c r="K5" s="160"/>
      <x:c r="L5" s="160"/>
      <x:c r="M5" s="160"/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27.75" customHeight="1">
      <x:c r="A6" s="331" t="s">
        <x:v>489</x:v>
      </x:c>
      <x:c r="B6" s="201" t="s">
        <x:v>492</x:v>
      </x:c>
      <x:c r="C6" s="201" t="s">
        <x:v>493</x:v>
      </x:c>
      <x:c r="D6" s="160"/>
      <x:c r="E6" s="160"/>
      <x:c r="F6" s="160"/>
      <x:c r="G6" s="160"/>
      <x:c r="H6" s="160"/>
      <x:c r="I6" s="160"/>
      <x:c r="J6" s="160"/>
      <x:c r="K6" s="160"/>
      <x:c r="L6" s="160"/>
      <x:c r="M6" s="160"/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27.75" customHeight="1">
      <x:c r="A7" s="331" t="s">
        <x:v>489</x:v>
      </x:c>
      <x:c r="B7" s="201" t="s">
        <x:v>494</x:v>
      </x:c>
      <x:c r="C7" s="201" t="s">
        <x:v>495</x:v>
      </x:c>
      <x:c r="D7" s="160"/>
      <x:c r="E7" s="160"/>
      <x:c r="F7" s="160"/>
      <x:c r="G7" s="160"/>
      <x:c r="H7" s="160"/>
      <x:c r="I7" s="160"/>
      <x:c r="J7" s="160"/>
      <x:c r="K7" s="160"/>
      <x:c r="L7" s="160"/>
      <x:c r="M7" s="160"/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27.75" customHeight="1">
      <x:c r="A8" s="331" t="s">
        <x:v>489</x:v>
      </x:c>
      <x:c r="B8" s="201" t="s">
        <x:v>496</x:v>
      </x:c>
      <x:c r="C8" s="201" t="s">
        <x:v>497</x:v>
      </x:c>
      <x:c r="D8" s="160"/>
      <x:c r="E8" s="160"/>
      <x:c r="F8" s="160"/>
      <x:c r="G8" s="160"/>
      <x:c r="H8" s="160"/>
      <x:c r="I8" s="160"/>
      <x:c r="J8" s="160"/>
      <x:c r="K8" s="160"/>
      <x:c r="L8" s="160"/>
      <x:c r="M8" s="160"/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27.75" customHeight="1">
      <x:c r="A9" s="331" t="s">
        <x:v>489</x:v>
      </x:c>
      <x:c r="B9" s="201" t="s">
        <x:v>498</x:v>
      </x:c>
      <x:c r="C9" s="201" t="s">
        <x:v>499</x:v>
      </x:c>
      <x:c r="D9" s="160"/>
      <x:c r="E9" s="160"/>
      <x:c r="F9" s="160"/>
      <x:c r="G9" s="160"/>
      <x:c r="H9" s="160"/>
      <x:c r="I9" s="160"/>
      <x:c r="J9" s="160"/>
      <x:c r="K9" s="160"/>
      <x:c r="L9" s="160"/>
      <x:c r="M9" s="160"/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27.75" customHeight="1">
      <x:c r="A10" s="331" t="s">
        <x:v>489</x:v>
      </x:c>
      <x:c r="B10" s="201" t="s">
        <x:v>500</x:v>
      </x:c>
      <x:c r="C10" s="201" t="s">
        <x:v>501</x:v>
      </x:c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27.75" customHeight="1">
      <x:c r="A11" s="331" t="s">
        <x:v>489</x:v>
      </x:c>
      <x:c r="B11" s="201" t="s">
        <x:v>502</x:v>
      </x:c>
      <x:c r="C11" s="201" t="s">
        <x:v>503</x:v>
      </x:c>
      <x:c r="D11" s="160"/>
      <x:c r="E11" s="160"/>
      <x:c r="F11" s="160"/>
      <x:c r="G11" s="160"/>
      <x:c r="H11" s="160"/>
      <x:c r="I11" s="160"/>
      <x:c r="J11" s="160"/>
      <x:c r="K11" s="160"/>
      <x:c r="L11" s="160"/>
      <x:c r="M11" s="160"/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27.75" customHeight="1">
      <x:c r="A12" s="331" t="s">
        <x:v>489</x:v>
      </x:c>
      <x:c r="B12" s="201" t="s">
        <x:v>504</x:v>
      </x:c>
      <x:c r="C12" s="201" t="s">
        <x:v>505</x:v>
      </x:c>
      <x:c r="D12" s="160"/>
      <x:c r="E12" s="160"/>
      <x:c r="F12" s="160"/>
      <x:c r="G12" s="160"/>
      <x:c r="H12" s="160"/>
      <x:c r="I12" s="160"/>
      <x:c r="J12" s="160"/>
      <x:c r="K12" s="160"/>
      <x:c r="L12" s="160"/>
      <x:c r="M12" s="160"/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27.75" customHeight="1">
      <x:c r="A13" s="332" t="s">
        <x:v>506</x:v>
      </x:c>
      <x:c r="B13" s="201" t="s">
        <x:v>507</x:v>
      </x:c>
      <x:c r="C13" s="201" t="s">
        <x:v>508</x:v>
      </x:c>
      <x:c r="D13" s="160"/>
      <x:c r="E13" s="160"/>
      <x:c r="F13" s="160"/>
      <x:c r="G13" s="160"/>
      <x:c r="H13" s="160"/>
      <x:c r="I13" s="160"/>
      <x:c r="J13" s="160"/>
      <x:c r="K13" s="160"/>
      <x:c r="L13" s="160"/>
      <x:c r="M13" s="160"/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27.75" customHeight="1">
      <x:c r="A14" s="332" t="s">
        <x:v>506</x:v>
      </x:c>
      <x:c r="B14" s="201" t="s">
        <x:v>509</x:v>
      </x:c>
      <x:c r="C14" s="201" t="s">
        <x:v>510</x:v>
      </x:c>
      <x:c r="D14" s="160"/>
      <x:c r="E14" s="160"/>
      <x:c r="F14" s="160"/>
      <x:c r="G14" s="160"/>
      <x:c r="H14" s="160"/>
      <x:c r="I14" s="160"/>
      <x:c r="J14" s="160"/>
      <x:c r="K14" s="160"/>
      <x:c r="L14" s="160"/>
      <x:c r="M14" s="160"/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27.75" customHeight="1">
      <x:c r="A15" s="332" t="s">
        <x:v>506</x:v>
      </x:c>
      <x:c r="B15" s="201" t="s">
        <x:v>511</x:v>
      </x:c>
      <x:c r="C15" s="201" t="s">
        <x:v>512</x:v>
      </x:c>
      <x:c r="D15" s="160"/>
      <x:c r="E15" s="160"/>
      <x:c r="F15" s="160"/>
      <x:c r="G15" s="160"/>
      <x:c r="H15" s="160"/>
      <x:c r="I15" s="160"/>
      <x:c r="J15" s="160"/>
      <x:c r="K15" s="160"/>
      <x:c r="L15" s="160"/>
      <x:c r="M15" s="160"/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27.75" customHeight="1">
      <x:c r="A16" s="332" t="s">
        <x:v>506</x:v>
      </x:c>
      <x:c r="B16" s="201" t="s">
        <x:v>513</x:v>
      </x:c>
      <x:c r="C16" s="201" t="s">
        <x:v>514</x:v>
      </x:c>
      <x:c r="D16" s="160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27.75" customHeight="1">
      <x:c r="A17" s="332" t="s">
        <x:v>506</x:v>
      </x:c>
      <x:c r="B17" s="201" t="s">
        <x:v>515</x:v>
      </x:c>
      <x:c r="C17" s="201" t="s">
        <x:v>516</x:v>
      </x:c>
      <x:c r="D17" s="160"/>
      <x:c r="E17" s="160"/>
      <x:c r="F17" s="160"/>
      <x:c r="G17" s="160"/>
      <x:c r="H17" s="160"/>
      <x:c r="I17" s="160"/>
      <x:c r="J17" s="160"/>
      <x:c r="K17" s="160"/>
      <x:c r="L17" s="160"/>
      <x:c r="M17" s="160"/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27.75" customHeight="1">
      <x:c r="A18" s="332" t="s">
        <x:v>506</x:v>
      </x:c>
      <x:c r="B18" s="201" t="s">
        <x:v>504</x:v>
      </x:c>
      <x:c r="C18" s="201" t="s">
        <x:v>517</x:v>
      </x:c>
      <x:c r="D18" s="160"/>
      <x:c r="E18" s="160"/>
      <x:c r="F18" s="160"/>
      <x:c r="G18" s="160"/>
      <x:c r="H18" s="160"/>
      <x:c r="I18" s="160"/>
      <x:c r="J18" s="160"/>
      <x:c r="K18" s="160"/>
      <x:c r="L18" s="160"/>
      <x:c r="M18" s="160"/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27.75" customHeight="1">
      <x:c r="A19" s="332" t="s">
        <x:v>506</x:v>
      </x:c>
      <x:c r="B19" s="201" t="s">
        <x:v>518</x:v>
      </x:c>
      <x:c r="C19" s="201" t="s">
        <x:v>519</x:v>
      </x:c>
      <x:c r="D19" s="160"/>
      <x:c r="E19" s="160"/>
      <x:c r="F19" s="160"/>
      <x:c r="G19" s="160"/>
      <x:c r="H19" s="160"/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27.75" customHeight="1">
      <x:c r="A20" s="332" t="s">
        <x:v>506</x:v>
      </x:c>
      <x:c r="B20" s="201" t="s">
        <x:v>520</x:v>
      </x:c>
      <x:c r="C20" s="201" t="s">
        <x:v>501</x:v>
      </x:c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27.75" customHeight="1">
      <x:c r="A21" s="332" t="s">
        <x:v>506</x:v>
      </x:c>
      <x:c r="B21" s="201" t="s">
        <x:v>521</x:v>
      </x:c>
      <x:c r="C21" s="201" t="s">
        <x:v>522</x:v>
      </x:c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27.75" customHeight="1">
      <x:c r="A22" s="332" t="s">
        <x:v>506</x:v>
      </x:c>
      <x:c r="B22" s="201" t="s">
        <x:v>523</x:v>
      </x:c>
      <x:c r="C22" s="201" t="s">
        <x:v>512</x:v>
      </x:c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 ht="27.75" customHeight="1">
      <x:c r="A23" s="333" t="s">
        <x:v>524</x:v>
      </x:c>
      <x:c r="B23" s="201" t="s">
        <x:v>525</x:v>
      </x:c>
      <x:c r="C23" s="201" t="s">
        <x:v>526</x:v>
      </x:c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27.75" customHeight="1">
      <x:c r="A24" s="333" t="s">
        <x:v>524</x:v>
      </x:c>
      <x:c r="B24" s="201" t="s">
        <x:v>527</x:v>
      </x:c>
      <x:c r="C24" s="201" t="s">
        <x:v>528</x:v>
      </x:c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27.75" customHeight="1">
      <x:c r="A25" s="333" t="s">
        <x:v>524</x:v>
      </x:c>
      <x:c r="B25" s="201" t="s">
        <x:v>529</x:v>
      </x:c>
      <x:c r="C25" s="201" t="s">
        <x:v>530</x:v>
      </x:c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27.75" customHeight="1">
      <x:c r="A26" s="333" t="s">
        <x:v>524</x:v>
      </x:c>
      <x:c r="B26" s="201" t="s">
        <x:v>531</x:v>
      </x:c>
      <x:c r="C26" s="201" t="s">
        <x:v>532</x:v>
      </x:c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27.75" customHeight="1">
      <x:c r="A27" s="333" t="s">
        <x:v>524</x:v>
      </x:c>
      <x:c r="B27" s="201" t="s">
        <x:v>533</x:v>
      </x:c>
      <x:c r="C27" s="201" t="s">
        <x:v>534</x:v>
      </x:c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27.75" customHeight="1">
      <x:c r="A28" s="333" t="s">
        <x:v>524</x:v>
      </x:c>
      <x:c r="B28" s="201" t="s">
        <x:v>376</x:v>
      </x:c>
      <x:c r="C28" s="201" t="s">
        <x:v>535</x:v>
      </x:c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27.75" customHeight="1">
      <x:c r="A29" s="333" t="s">
        <x:v>524</x:v>
      </x:c>
      <x:c r="B29" s="201" t="s">
        <x:v>504</x:v>
      </x:c>
      <x:c r="C29" s="201" t="s">
        <x:v>536</x:v>
      </x:c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 ht="27.75" customHeight="1">
      <x:c r="A30" s="333" t="s">
        <x:v>524</x:v>
      </x:c>
      <x:c r="B30" s="201" t="s">
        <x:v>537</x:v>
      </x:c>
      <x:c r="C30" s="201" t="s">
        <x:v>538</x:v>
      </x:c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27.75" customHeight="1">
      <x:c r="A31" s="333" t="s">
        <x:v>524</x:v>
      </x:c>
      <x:c r="B31" s="201" t="s">
        <x:v>539</x:v>
      </x:c>
      <x:c r="C31" s="201" t="s">
        <x:v>540</x:v>
      </x:c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 ht="27.75" customHeight="1">
      <x:c r="A32" s="333" t="s">
        <x:v>524</x:v>
      </x:c>
      <x:c r="B32" s="201" t="s">
        <x:v>541</x:v>
      </x:c>
      <x:c r="C32" s="201" t="s">
        <x:v>542</x:v>
      </x:c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 ht="27.75" customHeight="1">
      <x:c r="A33" s="334" t="s">
        <x:v>543</x:v>
      </x:c>
      <x:c r="B33" s="201" t="s">
        <x:v>544</x:v>
      </x:c>
      <x:c r="C33" s="201" t="s">
        <x:v>545</x:v>
      </x:c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 ht="27.75" customHeight="1">
      <x:c r="A34" s="334" t="s">
        <x:v>546</x:v>
      </x:c>
      <x:c r="B34" s="201" t="s">
        <x:v>547</x:v>
      </x:c>
      <x:c r="C34" s="201" t="s">
        <x:v>548</x:v>
      </x:c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26" hidden="0" customWidth="1"/>
    <x:col min="2" max="2" width="34" hidden="0" customWidth="1"/>
    <x:col min="3" max="3" width="54" hidden="0" customWidth="1"/>
    <x:col min="4" max="4" width="20" hidden="0" customWidth="1"/>
    <x:col min="5" max="5" width="18" hidden="0" customWidth="1"/>
    <x:col min="6" max="6" width="36" hidden="0" customWidth="1"/>
    <x:col min="7" max="7" width="22" hidden="0" customWidth="1"/>
    <x:col min="8" max="8" width="28" hidden="0" customWidth="1"/>
  </x:cols>
  <x:sheetData>
    <x:row r="1" ht="16.149999618530273" customHeight="1">
      <x:c r="A1" s="148" t="s">
        <x:v>549</x:v>
      </x:c>
      <x:c r="B1" s="293"/>
      <x:c r="C1" s="293"/>
      <x:c r="D1" s="293"/>
      <x:c r="E1" s="293"/>
      <x:c r="F1" s="293"/>
      <x:c r="G1" s="293"/>
      <x:c r="H1" s="293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57.75" customHeight="1">
      <x:c r="A2" s="154" t="s">
        <x:v>550</x:v>
      </x:c>
      <x:c r="B2" s="294"/>
      <x:c r="C2" s="294"/>
      <x:c r="D2" s="294"/>
      <x:c r="E2" s="294"/>
      <x:c r="F2" s="294"/>
      <x:c r="G2" s="294"/>
      <x:c r="H2" s="294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 ht="43.5" customHeight="1">
      <x:c r="A3" s="210" t="s">
        <x:v>551</x:v>
      </x:c>
      <x:c r="B3" s="295"/>
      <x:c r="C3" s="295"/>
      <x:c r="D3" s="295"/>
      <x:c r="E3" s="295"/>
      <x:c r="F3" s="295"/>
      <x:c r="G3" s="295"/>
      <x:c r="H3" s="295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31.5" customHeight="1">
      <x:c r="A4" s="210" t="s">
        <x:v>552</x:v>
      </x:c>
      <x:c r="B4" s="295"/>
      <x:c r="C4" s="295"/>
      <x:c r="D4" s="295"/>
      <x:c r="E4" s="295"/>
      <x:c r="F4" s="295"/>
      <x:c r="G4" s="295"/>
      <x:c r="H4" s="295"/>
      <x:c r="I4" s="160"/>
      <x:c r="J4" s="160"/>
      <x:c r="K4" s="160"/>
      <x:c r="L4" s="160"/>
      <x:c r="M4" s="160"/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>
      <x:c r="A5" s="295"/>
      <x:c r="B5" s="295"/>
      <x:c r="C5" s="295"/>
      <x:c r="D5" s="295"/>
      <x:c r="E5" s="295"/>
      <x:c r="F5" s="295"/>
      <x:c r="G5" s="295"/>
      <x:c r="H5" s="295"/>
      <x:c r="I5" s="160"/>
      <x:c r="J5" s="160"/>
      <x:c r="K5" s="160"/>
      <x:c r="L5" s="160"/>
      <x:c r="M5" s="160"/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33.75" customHeight="1">
      <x:c r="A6" s="340" t="s">
        <x:v>553</x:v>
      </x:c>
      <x:c r="B6" s="340" t="s">
        <x:v>554</x:v>
      </x:c>
      <x:c r="C6" s="340" t="s">
        <x:v>555</x:v>
      </x:c>
      <x:c r="D6" s="340" t="s">
        <x:v>556</x:v>
      </x:c>
      <x:c r="E6" s="340" t="s">
        <x:v>557</x:v>
      </x:c>
      <x:c r="F6" s="340" t="s">
        <x:v>558</x:v>
      </x:c>
      <x:c r="G6" s="340" t="s">
        <x:v>559</x:v>
      </x:c>
      <x:c r="H6" s="340" t="s">
        <x:v>13</x:v>
      </x:c>
      <x:c r="I6" s="160"/>
      <x:c r="J6" s="160"/>
      <x:c r="K6" s="160"/>
      <x:c r="L6" s="160"/>
      <x:c r="M6" s="160"/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43.5" customHeight="1">
      <x:c r="A7" s="212" t="s">
        <x:v>346</x:v>
      </x:c>
      <x:c r="B7" s="213" t="s">
        <x:v>347</x:v>
      </x:c>
      <x:c r="C7" s="213" t="s">
        <x:v>348</x:v>
      </x:c>
      <x:c r="D7" s="214" t="s">
        <x:v>560</x:v>
      </x:c>
      <x:c r="E7" s="343"/>
      <x:c r="F7" s="343"/>
      <x:c r="G7" s="343"/>
      <x:c r="H7" s="343"/>
      <x:c r="I7" s="160"/>
      <x:c r="J7" s="160"/>
      <x:c r="K7" s="160"/>
      <x:c r="L7" s="160"/>
      <x:c r="M7" s="160"/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43.5" customHeight="1">
      <x:c r="A8" s="212" t="s">
        <x:v>346</x:v>
      </x:c>
      <x:c r="B8" s="213" t="s">
        <x:v>353</x:v>
      </x:c>
      <x:c r="C8" s="213" t="s">
        <x:v>354</x:v>
      </x:c>
      <x:c r="D8" s="214" t="s">
        <x:v>561</x:v>
      </x:c>
      <x:c r="E8" s="343"/>
      <x:c r="F8" s="343"/>
      <x:c r="G8" s="343"/>
      <x:c r="H8" s="343"/>
      <x:c r="I8" s="160"/>
      <x:c r="J8" s="160"/>
      <x:c r="K8" s="160"/>
      <x:c r="L8" s="160"/>
      <x:c r="M8" s="160"/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43.5" customHeight="1">
      <x:c r="A9" s="212" t="s">
        <x:v>346</x:v>
      </x:c>
      <x:c r="B9" s="213" t="s">
        <x:v>357</x:v>
      </x:c>
      <x:c r="C9" s="213" t="s">
        <x:v>358</x:v>
      </x:c>
      <x:c r="D9" s="214" t="s">
        <x:v>561</x:v>
      </x:c>
      <x:c r="E9" s="343"/>
      <x:c r="F9" s="343"/>
      <x:c r="G9" s="343"/>
      <x:c r="H9" s="343"/>
      <x:c r="I9" s="160"/>
      <x:c r="J9" s="160"/>
      <x:c r="K9" s="160"/>
      <x:c r="L9" s="160"/>
      <x:c r="M9" s="160"/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43.5" customHeight="1">
      <x:c r="A10" s="212" t="s">
        <x:v>346</x:v>
      </x:c>
      <x:c r="B10" s="213" t="s">
        <x:v>360</x:v>
      </x:c>
      <x:c r="C10" s="213" t="s">
        <x:v>361</x:v>
      </x:c>
      <x:c r="D10" s="214" t="s">
        <x:v>561</x:v>
      </x:c>
      <x:c r="E10" s="343"/>
      <x:c r="F10" s="343"/>
      <x:c r="G10" s="343"/>
      <x:c r="H10" s="343"/>
      <x:c r="I10" s="160"/>
      <x:c r="J10" s="160"/>
      <x:c r="K10" s="160"/>
      <x:c r="L10" s="160"/>
      <x:c r="M10" s="160"/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43.5" customHeight="1">
      <x:c r="A11" s="212" t="s">
        <x:v>346</x:v>
      </x:c>
      <x:c r="B11" s="213" t="s">
        <x:v>363</x:v>
      </x:c>
      <x:c r="C11" s="213" t="s">
        <x:v>364</x:v>
      </x:c>
      <x:c r="D11" s="214" t="s">
        <x:v>561</x:v>
      </x:c>
      <x:c r="E11" s="343"/>
      <x:c r="F11" s="343"/>
      <x:c r="G11" s="343"/>
      <x:c r="H11" s="343"/>
      <x:c r="I11" s="160"/>
      <x:c r="J11" s="160"/>
      <x:c r="K11" s="160"/>
      <x:c r="L11" s="160"/>
      <x:c r="M11" s="160"/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43.5" customHeight="1">
      <x:c r="A12" s="212" t="s">
        <x:v>346</x:v>
      </x:c>
      <x:c r="B12" s="213" t="s">
        <x:v>366</x:v>
      </x:c>
      <x:c r="C12" s="213" t="s">
        <x:v>367</x:v>
      </x:c>
      <x:c r="D12" s="214" t="s">
        <x:v>561</x:v>
      </x:c>
      <x:c r="E12" s="343"/>
      <x:c r="F12" s="343"/>
      <x:c r="G12" s="343"/>
      <x:c r="H12" s="343"/>
      <x:c r="I12" s="160"/>
      <x:c r="J12" s="160"/>
      <x:c r="K12" s="160"/>
      <x:c r="L12" s="160"/>
      <x:c r="M12" s="160"/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43.5" customHeight="1">
      <x:c r="A13" s="212" t="s">
        <x:v>369</x:v>
      </x:c>
      <x:c r="B13" s="213" t="s">
        <x:v>370</x:v>
      </x:c>
      <x:c r="C13" s="213" t="s">
        <x:v>371</x:v>
      </x:c>
      <x:c r="D13" s="214" t="s">
        <x:v>561</x:v>
      </x:c>
      <x:c r="E13" s="343"/>
      <x:c r="F13" s="343"/>
      <x:c r="G13" s="343"/>
      <x:c r="H13" s="343"/>
      <x:c r="I13" s="160"/>
      <x:c r="J13" s="160"/>
      <x:c r="K13" s="160"/>
      <x:c r="L13" s="160"/>
      <x:c r="M13" s="160"/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43.5" customHeight="1">
      <x:c r="A14" s="212" t="s">
        <x:v>369</x:v>
      </x:c>
      <x:c r="B14" s="213" t="s">
        <x:v>373</x:v>
      </x:c>
      <x:c r="C14" s="213" t="s">
        <x:v>374</x:v>
      </x:c>
      <x:c r="D14" s="214" t="s">
        <x:v>561</x:v>
      </x:c>
      <x:c r="E14" s="343"/>
      <x:c r="F14" s="343"/>
      <x:c r="G14" s="343"/>
      <x:c r="H14" s="343"/>
      <x:c r="I14" s="160"/>
      <x:c r="J14" s="160"/>
      <x:c r="K14" s="160"/>
      <x:c r="L14" s="160"/>
      <x:c r="M14" s="160"/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43.5" customHeight="1">
      <x:c r="A15" s="212" t="s">
        <x:v>376</x:v>
      </x:c>
      <x:c r="B15" s="213" t="s">
        <x:v>377</x:v>
      </x:c>
      <x:c r="C15" s="213" t="s">
        <x:v>378</x:v>
      </x:c>
      <x:c r="D15" s="214" t="s">
        <x:v>561</x:v>
      </x:c>
      <x:c r="E15" s="343"/>
      <x:c r="F15" s="343"/>
      <x:c r="G15" s="343"/>
      <x:c r="H15" s="343"/>
      <x:c r="I15" s="160"/>
      <x:c r="J15" s="160"/>
      <x:c r="K15" s="160"/>
      <x:c r="L15" s="160"/>
      <x:c r="M15" s="160"/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43.5" customHeight="1">
      <x:c r="A16" s="212" t="s">
        <x:v>380</x:v>
      </x:c>
      <x:c r="B16" s="213" t="s">
        <x:v>381</x:v>
      </x:c>
      <x:c r="C16" s="213" t="s">
        <x:v>382</x:v>
      </x:c>
      <x:c r="D16" s="214" t="s">
        <x:v>561</x:v>
      </x:c>
      <x:c r="E16" s="343"/>
      <x:c r="F16" s="343"/>
      <x:c r="G16" s="343"/>
      <x:c r="H16" s="343"/>
      <x:c r="I16" s="160"/>
      <x:c r="J16" s="160"/>
      <x:c r="K16" s="160"/>
      <x:c r="L16" s="160"/>
      <x:c r="M16" s="160"/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43.5" customHeight="1">
      <x:c r="A17" s="212" t="s">
        <x:v>380</x:v>
      </x:c>
      <x:c r="B17" s="213" t="s">
        <x:v>384</x:v>
      </x:c>
      <x:c r="C17" s="213" t="s">
        <x:v>385</x:v>
      </x:c>
      <x:c r="D17" s="214" t="s">
        <x:v>561</x:v>
      </x:c>
      <x:c r="E17" s="343"/>
      <x:c r="F17" s="343"/>
      <x:c r="G17" s="343"/>
      <x:c r="H17" s="343"/>
      <x:c r="I17" s="160"/>
      <x:c r="J17" s="160"/>
      <x:c r="K17" s="160"/>
      <x:c r="L17" s="160"/>
      <x:c r="M17" s="160"/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43.5" customHeight="1">
      <x:c r="A18" s="212" t="s">
        <x:v>387</x:v>
      </x:c>
      <x:c r="B18" s="213" t="s">
        <x:v>388</x:v>
      </x:c>
      <x:c r="C18" s="213" t="s">
        <x:v>389</x:v>
      </x:c>
      <x:c r="D18" s="214" t="s">
        <x:v>561</x:v>
      </x:c>
      <x:c r="E18" s="343"/>
      <x:c r="F18" s="343"/>
      <x:c r="G18" s="343"/>
      <x:c r="H18" s="343"/>
      <x:c r="I18" s="160"/>
      <x:c r="J18" s="160"/>
      <x:c r="K18" s="160"/>
      <x:c r="L18" s="160"/>
      <x:c r="M18" s="160"/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43.5" customHeight="1">
      <x:c r="A19" s="212" t="s">
        <x:v>391</x:v>
      </x:c>
      <x:c r="B19" s="213" t="s">
        <x:v>392</x:v>
      </x:c>
      <x:c r="C19" s="213" t="s">
        <x:v>393</x:v>
      </x:c>
      <x:c r="D19" s="214" t="s">
        <x:v>562</x:v>
      </x:c>
      <x:c r="E19" s="343"/>
      <x:c r="F19" s="343"/>
      <x:c r="G19" s="343"/>
      <x:c r="H19" s="343"/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43.5" customHeight="1">
      <x:c r="A20" s="212" t="s">
        <x:v>396</x:v>
      </x:c>
      <x:c r="B20" s="213" t="s">
        <x:v>397</x:v>
      </x:c>
      <x:c r="C20" s="213" t="s">
        <x:v>398</x:v>
      </x:c>
      <x:c r="D20" s="214" t="s">
        <x:v>560</x:v>
      </x:c>
      <x:c r="E20" s="343"/>
      <x:c r="F20" s="343"/>
      <x:c r="G20" s="343"/>
      <x:c r="H20" s="343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43.5" customHeight="1">
      <x:c r="A21" s="212" t="s">
        <x:v>400</x:v>
      </x:c>
      <x:c r="B21" s="213" t="s">
        <x:v>401</x:v>
      </x:c>
      <x:c r="C21" s="213" t="s">
        <x:v>402</x:v>
      </x:c>
      <x:c r="D21" s="214" t="s">
        <x:v>560</x:v>
      </x:c>
      <x:c r="E21" s="343"/>
      <x:c r="F21" s="343"/>
      <x:c r="G21" s="343"/>
      <x:c r="H21" s="343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43.5" customHeight="1">
      <x:c r="A22" s="212" t="s">
        <x:v>404</x:v>
      </x:c>
      <x:c r="B22" s="213" t="s">
        <x:v>401</x:v>
      </x:c>
      <x:c r="C22" s="213" t="s">
        <x:v>402</x:v>
      </x:c>
      <x:c r="D22" s="214" t="s">
        <x:v>560</x:v>
      </x:c>
      <x:c r="E22" s="343"/>
      <x:c r="F22" s="343"/>
      <x:c r="G22" s="343"/>
      <x:c r="H22" s="343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>
      <x:c r="A23" s="295"/>
      <x:c r="B23" s="295"/>
      <x:c r="C23" s="295"/>
      <x:c r="D23" s="295"/>
      <x:c r="E23" s="295"/>
      <x:c r="F23" s="295"/>
      <x:c r="G23" s="295"/>
      <x:c r="H23" s="295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26.850000381469727" customHeight="1">
      <x:c r="A24" s="216" t="s">
        <x:v>563</x:v>
      </x:c>
      <x:c r="B24" s="295"/>
      <x:c r="C24" s="295"/>
      <x:c r="D24" s="295"/>
      <x:c r="E24" s="295"/>
      <x:c r="F24" s="295"/>
      <x:c r="G24" s="295"/>
      <x:c r="H24" s="295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23.850000381469727" customHeight="1">
      <x:c r="A25" s="212" t="s">
        <x:v>564</x:v>
      </x:c>
      <x:c r="B25" s="214" t="n">
        <x:f>COUNTA($B$7:$B$22)</x:f>
        <x:v>16</x:v>
      </x:c>
      <x:c r="C25" s="213" t="s">
        <x:v>565</x:v>
      </x:c>
      <x:c r="D25" s="213"/>
      <x:c r="E25" s="213"/>
      <x:c r="F25" s="213"/>
      <x:c r="G25" s="213"/>
      <x:c r="H25" s="213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23.850000381469727" customHeight="1">
      <x:c r="A26" s="212" t="s">
        <x:v>566</x:v>
      </x:c>
      <x:c r="B26" s="214" t="n">
        <x:f>COUNTIF($E$7:$E$22,"Sim")</x:f>
        <x:v>0</x:v>
      </x:c>
      <x:c r="C26" s="213" t="s">
        <x:v>567</x:v>
      </x:c>
      <x:c r="D26" s="213"/>
      <x:c r="E26" s="213"/>
      <x:c r="F26" s="213"/>
      <x:c r="G26" s="213"/>
      <x:c r="H26" s="213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15" customHeight="1">
      <x:c r="A27" s="212" t="s">
        <x:v>568</x:v>
      </x:c>
      <x:c r="B27" s="214" t="n">
        <x:f>COUNTIF($E$7:$E$22,"Não")</x:f>
        <x:v>0</x:v>
      </x:c>
      <x:c r="C27" s="213" t="s">
        <x:v>569</x:v>
      </x:c>
      <x:c r="D27" s="213"/>
      <x:c r="E27" s="213"/>
      <x:c r="F27" s="213"/>
      <x:c r="G27" s="213"/>
      <x:c r="H27" s="213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23.850000381469727" customHeight="1">
      <x:c r="A28" s="212" t="s">
        <x:v>570</x:v>
      </x:c>
      <x:c r="B28" s="214" t="n">
        <x:f>COUNTIF($E$7:$E$22,"Não se aplica")</x:f>
        <x:v>0</x:v>
      </x:c>
      <x:c r="C28" s="213" t="s">
        <x:v>571</x:v>
      </x:c>
      <x:c r="D28" s="213"/>
      <x:c r="E28" s="213"/>
      <x:c r="F28" s="213"/>
      <x:c r="G28" s="213"/>
      <x:c r="H28" s="213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15" customHeight="1">
      <x:c r="A29" s="212" t="s">
        <x:v>572</x:v>
      </x:c>
      <x:c r="B29" s="214" t="n">
        <x:f>COUNTA($B$7:$B$22)-COUNTIF($E$7:$E$22,"Sim")-COUNTIF($E$7:$E$22,"Não")-COUNTIF($E$7:$E$22,"Não se aplica")</x:f>
        <x:v>16</x:v>
      </x:c>
      <x:c r="C29" s="213" t="s">
        <x:v>573</x:v>
      </x:c>
      <x:c r="D29" s="213"/>
      <x:c r="E29" s="213"/>
      <x:c r="F29" s="213"/>
      <x:c r="G29" s="213"/>
      <x:c r="H29" s="213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>
      <x:c r="A30" s="295"/>
      <x:c r="B30" s="295"/>
      <x:c r="C30" s="295"/>
      <x:c r="D30" s="295"/>
      <x:c r="E30" s="295"/>
      <x:c r="F30" s="295"/>
      <x:c r="G30" s="295"/>
      <x:c r="H30" s="295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39.599998474121094" customHeight="1">
      <x:c r="A31" s="216" t="s">
        <x:v>574</x:v>
      </x:c>
      <x:c r="B31" s="295"/>
      <x:c r="C31" s="295"/>
      <x:c r="D31" s="295"/>
      <x:c r="E31" s="295"/>
      <x:c r="F31" s="295"/>
      <x:c r="G31" s="295"/>
      <x:c r="H31" s="295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 ht="61.5" customHeight="1">
      <x:c r="A32" s="210" t="s">
        <x:v>575</x:v>
      </x:c>
      <x:c r="B32" s="295"/>
      <x:c r="C32" s="295"/>
      <x:c r="D32" s="295"/>
      <x:c r="E32" s="295"/>
      <x:c r="F32" s="295"/>
      <x:c r="G32" s="295"/>
      <x:c r="H32" s="295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>
      <x:c r="A33" s="295"/>
      <x:c r="B33" s="295"/>
      <x:c r="C33" s="295"/>
      <x:c r="D33" s="295"/>
      <x:c r="E33" s="295"/>
      <x:c r="F33" s="295"/>
      <x:c r="G33" s="295"/>
      <x:c r="H33" s="295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 ht="26.850000381469727" customHeight="1">
      <x:c r="A34" s="216" t="s">
        <x:v>576</x:v>
      </x:c>
      <x:c r="B34" s="295"/>
      <x:c r="C34" s="295"/>
      <x:c r="D34" s="295"/>
      <x:c r="E34" s="295"/>
      <x:c r="F34" s="295"/>
      <x:c r="G34" s="295"/>
      <x:c r="H34" s="295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 ht="27" customHeight="1">
      <x:c r="A35" s="212" t="s">
        <x:v>577</x:v>
      </x:c>
      <x:c r="B35" s="215"/>
      <x:c r="C35" s="345"/>
      <x:c r="D35" s="213"/>
      <x:c r="E35" s="213"/>
      <x:c r="F35" s="213"/>
      <x:c r="G35" s="213"/>
      <x:c r="H35" s="213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 ht="15" customHeight="1">
      <x:c r="A36" s="212" t="s">
        <x:v>4</x:v>
      </x:c>
      <x:c r="B36" s="215"/>
      <x:c r="C36" s="345"/>
      <x:c r="D36" s="213"/>
      <x:c r="E36" s="213"/>
      <x:c r="F36" s="213"/>
      <x:c r="G36" s="213"/>
      <x:c r="H36" s="213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 ht="23.850000381469727" customHeight="1">
      <x:c r="A37" s="212" t="s">
        <x:v>578</x:v>
      </x:c>
      <x:c r="B37" s="215"/>
      <x:c r="C37" s="345"/>
      <x:c r="D37" s="213"/>
      <x:c r="E37" s="213"/>
      <x:c r="F37" s="213"/>
      <x:c r="G37" s="213"/>
      <x:c r="H37" s="213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 ht="15" customHeight="1">
      <x:c r="A38" s="212" t="s">
        <x:v>579</x:v>
      </x:c>
      <x:c r="B38" s="215"/>
      <x:c r="C38" s="345"/>
      <x:c r="D38" s="213"/>
      <x:c r="E38" s="213"/>
      <x:c r="F38" s="213"/>
      <x:c r="G38" s="213"/>
      <x:c r="H38" s="213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 ht="23.850000381469727" customHeight="1">
      <x:c r="A39" s="212" t="s">
        <x:v>580</x:v>
      </x:c>
      <x:c r="B39" s="215"/>
      <x:c r="C39" s="345"/>
      <x:c r="D39" s="213"/>
      <x:c r="E39" s="213"/>
      <x:c r="F39" s="213"/>
      <x:c r="G39" s="213"/>
      <x:c r="H39" s="213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 ht="23.850000381469727" customHeight="1">
      <x:c r="A40" s="212" t="s">
        <x:v>581</x:v>
      </x:c>
      <x:c r="B40" s="215"/>
      <x:c r="C40" s="345"/>
      <x:c r="D40" s="213"/>
      <x:c r="E40" s="213"/>
      <x:c r="F40" s="213"/>
      <x:c r="G40" s="213"/>
      <x:c r="H40" s="213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 ht="23.850000381469727" customHeight="1">
      <x:c r="A41" s="212" t="s">
        <x:v>582</x:v>
      </x:c>
      <x:c r="B41" s="215"/>
      <x:c r="C41" s="345"/>
      <x:c r="D41" s="213"/>
      <x:c r="E41" s="213"/>
      <x:c r="F41" s="213"/>
      <x:c r="G41" s="213"/>
      <x:c r="H41" s="213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>
      <x:c r="A42" s="295"/>
      <x:c r="B42" s="295"/>
      <x:c r="C42" s="295"/>
      <x:c r="D42" s="295"/>
      <x:c r="E42" s="295"/>
      <x:c r="F42" s="295"/>
      <x:c r="G42" s="295"/>
      <x:c r="H42" s="295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 ht="23.850000381469727" customHeight="1">
      <x:c r="A43" s="218" t="s">
        <x:v>583</x:v>
      </x:c>
      <x:c r="B43" s="295"/>
      <x:c r="C43" s="218" t="s">
        <x:v>583</x:v>
      </x:c>
      <x:c r="D43" s="295"/>
      <x:c r="E43" s="295"/>
      <x:c r="F43" s="218" t="s">
        <x:v>583</x:v>
      </x:c>
      <x:c r="G43" s="295"/>
      <x:c r="H43" s="295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 ht="15" customHeight="1">
      <x:c r="A44" s="219" t="s">
        <x:v>584</x:v>
      </x:c>
      <x:c r="B44" s="295"/>
      <x:c r="C44" s="219" t="s">
        <x:v>585</x:v>
      </x:c>
      <x:c r="D44" s="295"/>
      <x:c r="E44" s="295"/>
      <x:c r="F44" s="219" t="s">
        <x:v>586</x:v>
      </x:c>
      <x:c r="G44" s="295"/>
      <x:c r="H44" s="295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>
      <x:c r="A45" s="295"/>
      <x:c r="B45" s="295"/>
      <x:c r="C45" s="295"/>
      <x:c r="D45" s="295"/>
      <x:c r="E45" s="295"/>
      <x:c r="F45" s="295"/>
      <x:c r="G45" s="295"/>
      <x:c r="H45" s="295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 ht="15" customHeight="1">
      <x:c r="A46" s="220" t="s">
        <x:v>587</x:v>
      </x:c>
      <x:c r="B46" s="295"/>
      <x:c r="C46" s="295"/>
      <x:c r="D46" s="295"/>
      <x:c r="E46" s="295"/>
      <x:c r="F46" s="295"/>
      <x:c r="G46" s="295"/>
      <x:c r="H46" s="295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B41:C41"/>
    <x:mergeCell ref="B36:C36"/>
    <x:mergeCell ref="B40:C40"/>
    <x:mergeCell ref="A46:H46"/>
    <x:mergeCell ref="A32:H32"/>
    <x:mergeCell ref="B35:C35"/>
    <x:mergeCell ref="B39:C39"/>
    <x:mergeCell ref="A4:H4"/>
    <x:mergeCell ref="A1:H1"/>
    <x:mergeCell ref="B38:C38"/>
    <x:mergeCell ref="A3:H3"/>
    <x:mergeCell ref="A2:H2"/>
    <x:mergeCell ref="B37:C37"/>
  </x:mergeCells>
  <x:dataValidations count="1">
    <x:dataValidation type="list" allowBlank="1" sqref="E7:E22">
      <x:formula1>"Sim,Não,Não se aplica"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7109375" defaultRowHeight="15"/>
  <x:cols>
    <x:col min="1" max="1" width="22" customWidth="1"/>
    <x:col min="2" max="2" width="30" customWidth="1"/>
    <x:col min="3" max="3" width="11" customWidth="1"/>
    <x:col min="4" max="4" width="32" customWidth="1"/>
    <x:col min="5" max="5" width="24" customWidth="1"/>
    <x:col min="6" max="6" width="45" customWidth="1"/>
    <x:col min="7" max="10" width="11" customWidth="1"/>
    <x:col min="11" max="11" width="13" customWidth="1"/>
    <x:col min="12" max="12" width="26" customWidth="1"/>
  </x:cols>
  <x:sheetData>
    <x:row r="1" ht="15.75" customHeight="1">
      <x:c r="A1" s="407" t="s">
        <x:v>588</x:v>
      </x:c>
      <x:c r="B1" s="293"/>
      <x:c r="C1" s="293"/>
      <x:c r="D1" s="293"/>
      <x:c r="E1" s="293"/>
      <x:c r="F1" s="293"/>
      <x:c r="G1" s="293"/>
      <x:c r="H1" s="293"/>
      <x:c r="I1" s="293"/>
      <x:c r="J1" s="293"/>
      <x:c r="K1" s="293"/>
      <x:c r="L1" s="293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15" customHeight="1">
      <x:c r="A2" s="198" t="s">
        <x:v>589</x:v>
      </x:c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 ht="30" customHeight="1">
      <x:c r="A3" s="229" t="s">
        <x:v>590</x:v>
      </x:c>
      <x:c r="B3" s="295"/>
      <x:c r="C3" s="295"/>
      <x:c r="D3" s="295"/>
      <x:c r="E3" s="295"/>
      <x:c r="F3" s="295"/>
      <x:c r="G3" s="295"/>
      <x:c r="H3" s="295"/>
      <x:c r="I3" s="295"/>
      <x:c r="J3" s="295"/>
      <x:c r="K3" s="295"/>
      <x:c r="L3" s="295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>
      <x:c r="A4" s="356"/>
      <x:c r="B4" s="356"/>
      <x:c r="C4" s="356"/>
      <x:c r="D4" s="356"/>
      <x:c r="E4" s="356"/>
      <x:c r="F4" s="356"/>
      <x:c r="G4" s="356"/>
      <x:c r="H4" s="356"/>
      <x:c r="I4" s="356"/>
      <x:c r="J4" s="356"/>
      <x:c r="K4" s="356"/>
      <x:c r="L4" s="356"/>
      <x:c r="M4" s="160"/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19.5" customHeight="1">
      <x:c r="A5" s="377" t="s">
        <x:v>34</x:v>
      </x:c>
      <x:c r="B5" s="252" t="s">
        <x:v>35</x:v>
      </x:c>
      <x:c r="C5" s="252" t="s">
        <x:v>591</x:v>
      </x:c>
      <x:c r="D5" s="252" t="s">
        <x:v>409</x:v>
      </x:c>
      <x:c r="E5" s="252" t="s">
        <x:v>592</x:v>
      </x:c>
      <x:c r="F5" s="252" t="s">
        <x:v>593</x:v>
      </x:c>
      <x:c r="G5" s="252" t="s">
        <x:v>594</x:v>
      </x:c>
      <x:c r="H5" s="357"/>
      <x:c r="I5" s="357"/>
      <x:c r="J5" s="358"/>
      <x:c r="K5" s="252" t="s">
        <x:v>414</x:v>
      </x:c>
      <x:c r="L5" s="378" t="s">
        <x:v>13</x:v>
      </x:c>
      <x:c r="M5" s="160"/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31.5" customHeight="1">
      <x:c r="A6" s="408"/>
      <x:c r="B6" s="409"/>
      <x:c r="C6" s="410"/>
      <x:c r="D6" s="410"/>
      <x:c r="E6" s="410"/>
      <x:c r="F6" s="410"/>
      <x:c r="G6" s="375" t="s">
        <x:v>595</x:v>
      </x:c>
      <x:c r="H6" s="375" t="s">
        <x:v>596</x:v>
      </x:c>
      <x:c r="I6" s="375" t="s">
        <x:v>597</x:v>
      </x:c>
      <x:c r="J6" s="230" t="s">
        <x:v>598</x:v>
      </x:c>
      <x:c r="K6" s="409"/>
      <x:c r="L6" s="411"/>
      <x:c r="M6" s="160"/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45" customHeight="1">
      <x:c r="A7" s="381" t="s">
        <x:v>136</x:v>
      </x:c>
      <x:c r="B7" s="233" t="s">
        <x:v>148</x:v>
      </x:c>
      <x:c r="C7" s="372" t="s">
        <x:v>561</x:v>
      </x:c>
      <x:c r="D7" s="372" t="s">
        <x:v>599</x:v>
      </x:c>
      <x:c r="E7" s="372" t="s">
        <x:v>600</x:v>
      </x:c>
      <x:c r="F7" s="372" t="s">
        <x:v>601</x:v>
      </x:c>
      <x:c r="G7" s="372">
        <x:v>6</x:v>
      </x:c>
      <x:c r="H7" s="372">
        <x:v>6</x:v>
      </x:c>
      <x:c r="I7" s="372">
        <x:v>8</x:v>
      </x:c>
      <x:c r="J7" s="233" t="n">
        <x:f t="shared" ref="J7:J38" si="0">IF(COUNT(G7:I7)=3,G7*H7*I7,"")</x:f>
        <x:v>288</x:v>
      </x:c>
      <x:c r="K7" s="233" t="str">
        <x:f t="shared" ref="K7:K38" si="1">IF(J7="","",IF(J7&gt;=512,"Prioridade 1",IF(J7&gt;=108,"Prioridade 2","Prioridade 3")))</x:f>
        <x:v>Prioridade 2</x:v>
      </x:c>
      <x:c r="L7" s="382" t="s">
        <x:v>602</x:v>
      </x:c>
      <x:c r="M7" s="160"/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42" customHeight="1">
      <x:c r="A8" s="383" t="s">
        <x:v>43</x:v>
      </x:c>
      <x:c r="B8" s="175" t="s">
        <x:v>44</x:v>
      </x:c>
      <x:c r="C8" s="259"/>
      <x:c r="D8" s="255"/>
      <x:c r="E8" s="255" t="s">
        <x:v>603</x:v>
      </x:c>
      <x:c r="F8" s="255" t="s">
        <x:v>604</x:v>
      </x:c>
      <x:c r="G8" s="259"/>
      <x:c r="H8" s="259"/>
      <x:c r="I8" s="259"/>
      <x:c r="J8" s="235" t="str">
        <x:f t="shared" si="0"/>
      </x:c>
      <x:c r="K8" s="235" t="str">
        <x:f t="shared" si="1"/>
      </x:c>
      <x:c r="L8" s="384"/>
      <x:c r="M8" s="160"/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42" customHeight="1">
      <x:c r="A9" s="385" t="s">
        <x:v>43</x:v>
      </x:c>
      <x:c r="B9" s="175" t="s">
        <x:v>51</x:v>
      </x:c>
      <x:c r="C9" s="259"/>
      <x:c r="D9" s="255"/>
      <x:c r="E9" s="255" t="s">
        <x:v>603</x:v>
      </x:c>
      <x:c r="F9" s="255" t="s">
        <x:v>605</x:v>
      </x:c>
      <x:c r="G9" s="259"/>
      <x:c r="H9" s="259"/>
      <x:c r="I9" s="259"/>
      <x:c r="J9" s="235" t="str">
        <x:f t="shared" si="0"/>
      </x:c>
      <x:c r="K9" s="235" t="str">
        <x:f t="shared" si="1"/>
      </x:c>
      <x:c r="L9" s="384"/>
      <x:c r="M9" s="160"/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42" customHeight="1">
      <x:c r="A10" s="385" t="s">
        <x:v>43</x:v>
      </x:c>
      <x:c r="B10" s="175" t="s">
        <x:v>606</x:v>
      </x:c>
      <x:c r="C10" s="259"/>
      <x:c r="D10" s="255"/>
      <x:c r="E10" s="255" t="s">
        <x:v>607</x:v>
      </x:c>
      <x:c r="F10" s="255" t="s">
        <x:v>608</x:v>
      </x:c>
      <x:c r="G10" s="259"/>
      <x:c r="H10" s="259"/>
      <x:c r="I10" s="259"/>
      <x:c r="J10" s="235" t="str">
        <x:f t="shared" si="0"/>
      </x:c>
      <x:c r="K10" s="235" t="str">
        <x:f t="shared" si="1"/>
      </x:c>
      <x:c r="L10" s="384"/>
      <x:c r="M10" s="160"/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42" customHeight="1">
      <x:c r="A11" s="385" t="s">
        <x:v>43</x:v>
      </x:c>
      <x:c r="B11" s="175" t="s">
        <x:v>609</x:v>
      </x:c>
      <x:c r="C11" s="259"/>
      <x:c r="D11" s="255"/>
      <x:c r="E11" s="255" t="s">
        <x:v>607</x:v>
      </x:c>
      <x:c r="F11" s="255" t="s">
        <x:v>610</x:v>
      </x:c>
      <x:c r="G11" s="259"/>
      <x:c r="H11" s="259"/>
      <x:c r="I11" s="259"/>
      <x:c r="J11" s="235" t="str">
        <x:f t="shared" si="0"/>
      </x:c>
      <x:c r="K11" s="235" t="str">
        <x:f t="shared" si="1"/>
      </x:c>
      <x:c r="L11" s="384"/>
      <x:c r="M11" s="160"/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42" customHeight="1">
      <x:c r="A12" s="385" t="s">
        <x:v>43</x:v>
      </x:c>
      <x:c r="B12" s="175" t="s">
        <x:v>60</x:v>
      </x:c>
      <x:c r="C12" s="259"/>
      <x:c r="D12" s="255"/>
      <x:c r="E12" s="255" t="s">
        <x:v>611</x:v>
      </x:c>
      <x:c r="F12" s="255" t="s">
        <x:v>612</x:v>
      </x:c>
      <x:c r="G12" s="259"/>
      <x:c r="H12" s="259"/>
      <x:c r="I12" s="259"/>
      <x:c r="J12" s="235" t="str">
        <x:f t="shared" si="0"/>
      </x:c>
      <x:c r="K12" s="235" t="str">
        <x:f t="shared" si="1"/>
      </x:c>
      <x:c r="L12" s="384"/>
      <x:c r="M12" s="160"/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42" customHeight="1">
      <x:c r="A13" s="385" t="s">
        <x:v>43</x:v>
      </x:c>
      <x:c r="B13" s="175" t="s">
        <x:v>613</x:v>
      </x:c>
      <x:c r="C13" s="259"/>
      <x:c r="D13" s="255"/>
      <x:c r="E13" s="255" t="s">
        <x:v>614</x:v>
      </x:c>
      <x:c r="F13" s="255" t="s">
        <x:v>615</x:v>
      </x:c>
      <x:c r="G13" s="259"/>
      <x:c r="H13" s="259"/>
      <x:c r="I13" s="259"/>
      <x:c r="J13" s="235" t="str">
        <x:f t="shared" si="0"/>
      </x:c>
      <x:c r="K13" s="235" t="str">
        <x:f t="shared" si="1"/>
      </x:c>
      <x:c r="L13" s="384"/>
      <x:c r="M13" s="160"/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42" customHeight="1">
      <x:c r="A14" s="385" t="s">
        <x:v>43</x:v>
      </x:c>
      <x:c r="B14" s="175" t="s">
        <x:v>71</x:v>
      </x:c>
      <x:c r="C14" s="259"/>
      <x:c r="D14" s="255"/>
      <x:c r="E14" s="255" t="s">
        <x:v>603</x:v>
      </x:c>
      <x:c r="F14" s="255" t="s">
        <x:v>616</x:v>
      </x:c>
      <x:c r="G14" s="259"/>
      <x:c r="H14" s="259"/>
      <x:c r="I14" s="259"/>
      <x:c r="J14" s="235" t="str">
        <x:f t="shared" si="0"/>
      </x:c>
      <x:c r="K14" s="235" t="str">
        <x:f t="shared" si="1"/>
      </x:c>
      <x:c r="L14" s="384"/>
      <x:c r="M14" s="160"/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42" customHeight="1">
      <x:c r="A15" s="385" t="s">
        <x:v>43</x:v>
      </x:c>
      <x:c r="B15" s="175" t="s">
        <x:v>76</x:v>
      </x:c>
      <x:c r="C15" s="259"/>
      <x:c r="D15" s="255"/>
      <x:c r="E15" s="255" t="s">
        <x:v>617</x:v>
      </x:c>
      <x:c r="F15" s="255" t="s">
        <x:v>618</x:v>
      </x:c>
      <x:c r="G15" s="259"/>
      <x:c r="H15" s="259"/>
      <x:c r="I15" s="259"/>
      <x:c r="J15" s="235" t="str">
        <x:f t="shared" si="0"/>
      </x:c>
      <x:c r="K15" s="235" t="str">
        <x:f t="shared" si="1"/>
      </x:c>
      <x:c r="L15" s="384"/>
      <x:c r="M15" s="160"/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42" customHeight="1">
      <x:c r="A16" s="385" t="s">
        <x:v>43</x:v>
      </x:c>
      <x:c r="B16" s="175" t="s">
        <x:v>81</x:v>
      </x:c>
      <x:c r="C16" s="259"/>
      <x:c r="D16" s="255"/>
      <x:c r="E16" s="255" t="s">
        <x:v>619</x:v>
      </x:c>
      <x:c r="F16" s="255" t="s">
        <x:v>620</x:v>
      </x:c>
      <x:c r="G16" s="259"/>
      <x:c r="H16" s="259"/>
      <x:c r="I16" s="259"/>
      <x:c r="J16" s="235" t="str">
        <x:f t="shared" si="0"/>
      </x:c>
      <x:c r="K16" s="235" t="str">
        <x:f t="shared" si="1"/>
      </x:c>
      <x:c r="L16" s="384"/>
      <x:c r="M16" s="160"/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42" customHeight="1">
      <x:c r="A17" s="383" t="s">
        <x:v>86</x:v>
      </x:c>
      <x:c r="B17" s="175" t="s">
        <x:v>621</x:v>
      </x:c>
      <x:c r="C17" s="259"/>
      <x:c r="D17" s="255"/>
      <x:c r="E17" s="255" t="s">
        <x:v>622</x:v>
      </x:c>
      <x:c r="F17" s="255" t="s">
        <x:v>623</x:v>
      </x:c>
      <x:c r="G17" s="259"/>
      <x:c r="H17" s="259"/>
      <x:c r="I17" s="259"/>
      <x:c r="J17" s="235" t="str">
        <x:f t="shared" si="0"/>
      </x:c>
      <x:c r="K17" s="235" t="str">
        <x:f t="shared" si="1"/>
      </x:c>
      <x:c r="L17" s="384"/>
      <x:c r="M17" s="160"/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42" customHeight="1">
      <x:c r="A18" s="385" t="s">
        <x:v>86</x:v>
      </x:c>
      <x:c r="B18" s="175" t="s">
        <x:v>100</x:v>
      </x:c>
      <x:c r="C18" s="259"/>
      <x:c r="D18" s="255"/>
      <x:c r="E18" s="255" t="s">
        <x:v>622</x:v>
      </x:c>
      <x:c r="F18" s="255" t="s">
        <x:v>624</x:v>
      </x:c>
      <x:c r="G18" s="259"/>
      <x:c r="H18" s="259"/>
      <x:c r="I18" s="259"/>
      <x:c r="J18" s="235" t="str">
        <x:f t="shared" si="0"/>
      </x:c>
      <x:c r="K18" s="235" t="str">
        <x:f t="shared" si="1"/>
      </x:c>
      <x:c r="L18" s="384"/>
      <x:c r="M18" s="160"/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42" customHeight="1">
      <x:c r="A19" s="385" t="s">
        <x:v>86</x:v>
      </x:c>
      <x:c r="B19" s="175" t="s">
        <x:v>103</x:v>
      </x:c>
      <x:c r="C19" s="259"/>
      <x:c r="D19" s="255"/>
      <x:c r="E19" s="255" t="s">
        <x:v>622</x:v>
      </x:c>
      <x:c r="F19" s="255" t="s">
        <x:v>625</x:v>
      </x:c>
      <x:c r="G19" s="259"/>
      <x:c r="H19" s="259"/>
      <x:c r="I19" s="259"/>
      <x:c r="J19" s="235" t="str">
        <x:f t="shared" si="0"/>
      </x:c>
      <x:c r="K19" s="235" t="str">
        <x:f t="shared" si="1"/>
      </x:c>
      <x:c r="L19" s="384"/>
      <x:c r="M19" s="160"/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42" customHeight="1">
      <x:c r="A20" s="385" t="s">
        <x:v>86</x:v>
      </x:c>
      <x:c r="B20" s="175" t="s">
        <x:v>626</x:v>
      </x:c>
      <x:c r="C20" s="259"/>
      <x:c r="D20" s="255"/>
      <x:c r="E20" s="255" t="s">
        <x:v>627</x:v>
      </x:c>
      <x:c r="F20" s="255" t="s">
        <x:v>628</x:v>
      </x:c>
      <x:c r="G20" s="259"/>
      <x:c r="H20" s="259"/>
      <x:c r="I20" s="259"/>
      <x:c r="J20" s="235" t="str">
        <x:f t="shared" si="0"/>
      </x:c>
      <x:c r="K20" s="235" t="str">
        <x:f t="shared" si="1"/>
      </x:c>
      <x:c r="L20" s="384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42" customHeight="1">
      <x:c r="A21" s="385" t="s">
        <x:v>86</x:v>
      </x:c>
      <x:c r="B21" s="175" t="s">
        <x:v>110</x:v>
      </x:c>
      <x:c r="C21" s="259"/>
      <x:c r="D21" s="255"/>
      <x:c r="E21" s="255" t="s">
        <x:v>622</x:v>
      </x:c>
      <x:c r="F21" s="255" t="s">
        <x:v>629</x:v>
      </x:c>
      <x:c r="G21" s="259"/>
      <x:c r="H21" s="259"/>
      <x:c r="I21" s="259"/>
      <x:c r="J21" s="235" t="str">
        <x:f t="shared" si="0"/>
      </x:c>
      <x:c r="K21" s="235" t="str">
        <x:f t="shared" si="1"/>
      </x:c>
      <x:c r="L21" s="384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42" customHeight="1">
      <x:c r="A22" s="385" t="s">
        <x:v>86</x:v>
      </x:c>
      <x:c r="B22" s="175" t="s">
        <x:v>630</x:v>
      </x:c>
      <x:c r="C22" s="259"/>
      <x:c r="D22" s="255"/>
      <x:c r="E22" s="255" t="s">
        <x:v>627</x:v>
      </x:c>
      <x:c r="F22" s="255" t="s">
        <x:v>631</x:v>
      </x:c>
      <x:c r="G22" s="259"/>
      <x:c r="H22" s="259"/>
      <x:c r="I22" s="259"/>
      <x:c r="J22" s="235" t="str">
        <x:f t="shared" si="0"/>
      </x:c>
      <x:c r="K22" s="235" t="str">
        <x:f t="shared" si="1"/>
      </x:c>
      <x:c r="L22" s="384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 ht="42" customHeight="1">
      <x:c r="A23" s="383" t="s">
        <x:v>116</x:v>
      </x:c>
      <x:c r="B23" s="175" t="s">
        <x:v>117</x:v>
      </x:c>
      <x:c r="C23" s="259"/>
      <x:c r="D23" s="255"/>
      <x:c r="E23" s="255" t="s">
        <x:v>632</x:v>
      </x:c>
      <x:c r="F23" s="255" t="s">
        <x:v>633</x:v>
      </x:c>
      <x:c r="G23" s="259"/>
      <x:c r="H23" s="259"/>
      <x:c r="I23" s="259"/>
      <x:c r="J23" s="235" t="str">
        <x:f t="shared" si="0"/>
      </x:c>
      <x:c r="K23" s="235" t="str">
        <x:f t="shared" si="1"/>
      </x:c>
      <x:c r="L23" s="384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42" customHeight="1">
      <x:c r="A24" s="385" t="s">
        <x:v>116</x:v>
      </x:c>
      <x:c r="B24" s="175" t="s">
        <x:v>121</x:v>
      </x:c>
      <x:c r="C24" s="259"/>
      <x:c r="D24" s="255"/>
      <x:c r="E24" s="255" t="s">
        <x:v>634</x:v>
      </x:c>
      <x:c r="F24" s="255" t="s">
        <x:v>635</x:v>
      </x:c>
      <x:c r="G24" s="259"/>
      <x:c r="H24" s="259"/>
      <x:c r="I24" s="259"/>
      <x:c r="J24" s="235" t="str">
        <x:f t="shared" si="0"/>
      </x:c>
      <x:c r="K24" s="235" t="str">
        <x:f t="shared" si="1"/>
      </x:c>
      <x:c r="L24" s="384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42" customHeight="1">
      <x:c r="A25" s="385" t="s">
        <x:v>116</x:v>
      </x:c>
      <x:c r="B25" s="175" t="s">
        <x:v>636</x:v>
      </x:c>
      <x:c r="C25" s="259"/>
      <x:c r="D25" s="255"/>
      <x:c r="E25" s="255" t="s">
        <x:v>634</x:v>
      </x:c>
      <x:c r="F25" s="255" t="s">
        <x:v>637</x:v>
      </x:c>
      <x:c r="G25" s="259"/>
      <x:c r="H25" s="259"/>
      <x:c r="I25" s="259"/>
      <x:c r="J25" s="235" t="str">
        <x:f t="shared" si="0"/>
      </x:c>
      <x:c r="K25" s="235" t="str">
        <x:f t="shared" si="1"/>
      </x:c>
      <x:c r="L25" s="384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42" customHeight="1">
      <x:c r="A26" s="385" t="s">
        <x:v>116</x:v>
      </x:c>
      <x:c r="B26" s="175" t="s">
        <x:v>131</x:v>
      </x:c>
      <x:c r="C26" s="259"/>
      <x:c r="D26" s="255"/>
      <x:c r="E26" s="255" t="s">
        <x:v>634</x:v>
      </x:c>
      <x:c r="F26" s="255" t="s">
        <x:v>638</x:v>
      </x:c>
      <x:c r="G26" s="259"/>
      <x:c r="H26" s="259"/>
      <x:c r="I26" s="259"/>
      <x:c r="J26" s="235" t="str">
        <x:f t="shared" si="0"/>
      </x:c>
      <x:c r="K26" s="235" t="str">
        <x:f t="shared" si="1"/>
      </x:c>
      <x:c r="L26" s="384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42" customHeight="1">
      <x:c r="A27" s="383" t="s">
        <x:v>136</x:v>
      </x:c>
      <x:c r="B27" s="175" t="s">
        <x:v>639</x:v>
      </x:c>
      <x:c r="C27" s="259"/>
      <x:c r="D27" s="255"/>
      <x:c r="E27" s="255" t="s">
        <x:v>622</x:v>
      </x:c>
      <x:c r="F27" s="255" t="s">
        <x:v>640</x:v>
      </x:c>
      <x:c r="G27" s="259"/>
      <x:c r="H27" s="259"/>
      <x:c r="I27" s="259"/>
      <x:c r="J27" s="235" t="str">
        <x:f t="shared" si="0"/>
      </x:c>
      <x:c r="K27" s="235" t="str">
        <x:f t="shared" si="1"/>
      </x:c>
      <x:c r="L27" s="384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42" customHeight="1">
      <x:c r="A28" s="385" t="s">
        <x:v>136</x:v>
      </x:c>
      <x:c r="B28" s="175" t="s">
        <x:v>641</x:v>
      </x:c>
      <x:c r="C28" s="259"/>
      <x:c r="D28" s="255"/>
      <x:c r="E28" s="255" t="s">
        <x:v>603</x:v>
      </x:c>
      <x:c r="F28" s="255" t="s">
        <x:v>642</x:v>
      </x:c>
      <x:c r="G28" s="259"/>
      <x:c r="H28" s="259"/>
      <x:c r="I28" s="259"/>
      <x:c r="J28" s="235" t="str">
        <x:f t="shared" si="0"/>
      </x:c>
      <x:c r="K28" s="235" t="str">
        <x:f t="shared" si="1"/>
      </x:c>
      <x:c r="L28" s="384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42" customHeight="1">
      <x:c r="A29" s="385" t="s">
        <x:v>136</x:v>
      </x:c>
      <x:c r="B29" s="175" t="s">
        <x:v>148</x:v>
      </x:c>
      <x:c r="C29" s="259"/>
      <x:c r="D29" s="255"/>
      <x:c r="E29" s="255" t="s">
        <x:v>600</x:v>
      </x:c>
      <x:c r="F29" s="255" t="s">
        <x:v>601</x:v>
      </x:c>
      <x:c r="G29" s="259"/>
      <x:c r="H29" s="259"/>
      <x:c r="I29" s="259"/>
      <x:c r="J29" s="235" t="str">
        <x:f t="shared" si="0"/>
      </x:c>
      <x:c r="K29" s="235" t="str">
        <x:f t="shared" si="1"/>
      </x:c>
      <x:c r="L29" s="384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 ht="42" customHeight="1">
      <x:c r="A30" s="385" t="s">
        <x:v>136</x:v>
      </x:c>
      <x:c r="B30" s="175" t="s">
        <x:v>643</x:v>
      </x:c>
      <x:c r="C30" s="259"/>
      <x:c r="D30" s="255"/>
      <x:c r="E30" s="255" t="s">
        <x:v>622</x:v>
      </x:c>
      <x:c r="F30" s="255" t="s">
        <x:v>644</x:v>
      </x:c>
      <x:c r="G30" s="259"/>
      <x:c r="H30" s="259"/>
      <x:c r="I30" s="259"/>
      <x:c r="J30" s="235" t="str">
        <x:f t="shared" si="0"/>
      </x:c>
      <x:c r="K30" s="235" t="str">
        <x:f t="shared" si="1"/>
      </x:c>
      <x:c r="L30" s="384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42" customHeight="1">
      <x:c r="A31" s="385" t="s">
        <x:v>136</x:v>
      </x:c>
      <x:c r="B31" s="175" t="s">
        <x:v>645</x:v>
      </x:c>
      <x:c r="C31" s="259"/>
      <x:c r="D31" s="255"/>
      <x:c r="E31" s="255" t="s">
        <x:v>646</x:v>
      </x:c>
      <x:c r="F31" s="255" t="s">
        <x:v>647</x:v>
      </x:c>
      <x:c r="G31" s="259"/>
      <x:c r="H31" s="259"/>
      <x:c r="I31" s="259"/>
      <x:c r="J31" s="235" t="str">
        <x:f t="shared" si="0"/>
      </x:c>
      <x:c r="K31" s="235" t="str">
        <x:f t="shared" si="1"/>
      </x:c>
      <x:c r="L31" s="384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 ht="42" customHeight="1">
      <x:c r="A32" s="385" t="s">
        <x:v>136</x:v>
      </x:c>
      <x:c r="B32" s="175" t="s">
        <x:v>648</x:v>
      </x:c>
      <x:c r="C32" s="259"/>
      <x:c r="D32" s="255"/>
      <x:c r="E32" s="255" t="s">
        <x:v>649</x:v>
      </x:c>
      <x:c r="F32" s="255" t="s">
        <x:v>650</x:v>
      </x:c>
      <x:c r="G32" s="259"/>
      <x:c r="H32" s="259"/>
      <x:c r="I32" s="259"/>
      <x:c r="J32" s="235" t="str">
        <x:f t="shared" si="0"/>
      </x:c>
      <x:c r="K32" s="235" t="str">
        <x:f t="shared" si="1"/>
      </x:c>
      <x:c r="L32" s="384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 ht="42" customHeight="1">
      <x:c r="A33" s="385" t="s">
        <x:v>136</x:v>
      </x:c>
      <x:c r="B33" s="175" t="s">
        <x:v>170</x:v>
      </x:c>
      <x:c r="C33" s="259"/>
      <x:c r="D33" s="255"/>
      <x:c r="E33" s="255" t="s">
        <x:v>614</x:v>
      </x:c>
      <x:c r="F33" s="255" t="s">
        <x:v>651</x:v>
      </x:c>
      <x:c r="G33" s="259"/>
      <x:c r="H33" s="259"/>
      <x:c r="I33" s="259"/>
      <x:c r="J33" s="235" t="str">
        <x:f t="shared" si="0"/>
      </x:c>
      <x:c r="K33" s="235" t="str">
        <x:f t="shared" si="1"/>
      </x:c>
      <x:c r="L33" s="384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 ht="42" customHeight="1">
      <x:c r="A34" s="383" t="s">
        <x:v>175</x:v>
      </x:c>
      <x:c r="B34" s="175" t="s">
        <x:v>176</x:v>
      </x:c>
      <x:c r="C34" s="259"/>
      <x:c r="D34" s="255"/>
      <x:c r="E34" s="255" t="s">
        <x:v>622</x:v>
      </x:c>
      <x:c r="F34" s="255" t="s">
        <x:v>652</x:v>
      </x:c>
      <x:c r="G34" s="259"/>
      <x:c r="H34" s="259"/>
      <x:c r="I34" s="259"/>
      <x:c r="J34" s="235" t="str">
        <x:f t="shared" si="0"/>
      </x:c>
      <x:c r="K34" s="235" t="str">
        <x:f t="shared" si="1"/>
      </x:c>
      <x:c r="L34" s="384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 ht="42" customHeight="1">
      <x:c r="A35" s="385" t="s">
        <x:v>175</x:v>
      </x:c>
      <x:c r="B35" s="175" t="s">
        <x:v>181</x:v>
      </x:c>
      <x:c r="C35" s="259"/>
      <x:c r="D35" s="255"/>
      <x:c r="E35" s="255" t="s">
        <x:v>603</x:v>
      </x:c>
      <x:c r="F35" s="255" t="s">
        <x:v>653</x:v>
      </x:c>
      <x:c r="G35" s="259"/>
      <x:c r="H35" s="259"/>
      <x:c r="I35" s="259"/>
      <x:c r="J35" s="235" t="str">
        <x:f t="shared" si="0"/>
      </x:c>
      <x:c r="K35" s="235" t="str">
        <x:f t="shared" si="1"/>
      </x:c>
      <x:c r="L35" s="384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 ht="42" customHeight="1">
      <x:c r="A36" s="385" t="s">
        <x:v>175</x:v>
      </x:c>
      <x:c r="B36" s="175" t="s">
        <x:v>185</x:v>
      </x:c>
      <x:c r="C36" s="259"/>
      <x:c r="D36" s="255"/>
      <x:c r="E36" s="255" t="s">
        <x:v>622</x:v>
      </x:c>
      <x:c r="F36" s="255" t="s">
        <x:v>654</x:v>
      </x:c>
      <x:c r="G36" s="259"/>
      <x:c r="H36" s="259"/>
      <x:c r="I36" s="259"/>
      <x:c r="J36" s="235" t="str">
        <x:f t="shared" si="0"/>
      </x:c>
      <x:c r="K36" s="235" t="str">
        <x:f t="shared" si="1"/>
      </x:c>
      <x:c r="L36" s="384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 ht="42" customHeight="1">
      <x:c r="A37" s="385" t="s">
        <x:v>175</x:v>
      </x:c>
      <x:c r="B37" s="175" t="s">
        <x:v>189</x:v>
      </x:c>
      <x:c r="C37" s="259"/>
      <x:c r="D37" s="255"/>
      <x:c r="E37" s="255" t="s">
        <x:v>634</x:v>
      </x:c>
      <x:c r="F37" s="255" t="s">
        <x:v>655</x:v>
      </x:c>
      <x:c r="G37" s="259"/>
      <x:c r="H37" s="259"/>
      <x:c r="I37" s="259"/>
      <x:c r="J37" s="235" t="str">
        <x:f t="shared" si="0"/>
      </x:c>
      <x:c r="K37" s="235" t="str">
        <x:f t="shared" si="1"/>
      </x:c>
      <x:c r="L37" s="384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 ht="42" customHeight="1">
      <x:c r="A38" s="385" t="s">
        <x:v>175</x:v>
      </x:c>
      <x:c r="B38" s="175" t="s">
        <x:v>170</x:v>
      </x:c>
      <x:c r="C38" s="259"/>
      <x:c r="D38" s="255"/>
      <x:c r="E38" s="255" t="s">
        <x:v>614</x:v>
      </x:c>
      <x:c r="F38" s="255" t="s">
        <x:v>651</x:v>
      </x:c>
      <x:c r="G38" s="259"/>
      <x:c r="H38" s="259"/>
      <x:c r="I38" s="259"/>
      <x:c r="J38" s="235" t="str">
        <x:f t="shared" si="0"/>
      </x:c>
      <x:c r="K38" s="235" t="str">
        <x:f t="shared" si="1"/>
      </x:c>
      <x:c r="L38" s="384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 ht="42" customHeight="1">
      <x:c r="A39" s="385" t="s">
        <x:v>175</x:v>
      </x:c>
      <x:c r="B39" s="175" t="s">
        <x:v>202</x:v>
      </x:c>
      <x:c r="C39" s="259"/>
      <x:c r="D39" s="255"/>
      <x:c r="E39" s="255" t="s">
        <x:v>646</x:v>
      </x:c>
      <x:c r="F39" s="255" t="s">
        <x:v>656</x:v>
      </x:c>
      <x:c r="G39" s="259"/>
      <x:c r="H39" s="259"/>
      <x:c r="I39" s="259"/>
      <x:c r="J39" s="235" t="str">
        <x:f t="shared" ref="J39:J70" si="2">IF(COUNT(G39:I39)=3,G39*H39*I39,"")</x:f>
      </x:c>
      <x:c r="K39" s="235" t="str">
        <x:f t="shared" ref="K39:K70" si="3">IF(J39="","",IF(J39&gt;=512,"Prioridade 1",IF(J39&gt;=108,"Prioridade 2","Prioridade 3")))</x:f>
      </x:c>
      <x:c r="L39" s="384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 ht="42" customHeight="1">
      <x:c r="A40" s="385" t="s">
        <x:v>175</x:v>
      </x:c>
      <x:c r="B40" s="175" t="s">
        <x:v>206</x:v>
      </x:c>
      <x:c r="C40" s="259"/>
      <x:c r="D40" s="255"/>
      <x:c r="E40" s="255" t="s">
        <x:v>657</x:v>
      </x:c>
      <x:c r="F40" s="255" t="s">
        <x:v>658</x:v>
      </x:c>
      <x:c r="G40" s="259"/>
      <x:c r="H40" s="259"/>
      <x:c r="I40" s="259"/>
      <x:c r="J40" s="235" t="str">
        <x:f t="shared" si="2"/>
      </x:c>
      <x:c r="K40" s="235" t="str">
        <x:f t="shared" si="3"/>
      </x:c>
      <x:c r="L40" s="384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 ht="42" customHeight="1">
      <x:c r="A41" s="383" t="s">
        <x:v>216</x:v>
      </x:c>
      <x:c r="B41" s="175" t="s">
        <x:v>217</x:v>
      </x:c>
      <x:c r="C41" s="259"/>
      <x:c r="D41" s="255"/>
      <x:c r="E41" s="255" t="s">
        <x:v>659</x:v>
      </x:c>
      <x:c r="F41" s="255" t="s">
        <x:v>660</x:v>
      </x:c>
      <x:c r="G41" s="259"/>
      <x:c r="H41" s="259"/>
      <x:c r="I41" s="259"/>
      <x:c r="J41" s="235" t="str">
        <x:f t="shared" si="2"/>
      </x:c>
      <x:c r="K41" s="235" t="str">
        <x:f t="shared" si="3"/>
      </x:c>
      <x:c r="L41" s="384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 ht="42" customHeight="1">
      <x:c r="A42" s="385" t="s">
        <x:v>216</x:v>
      </x:c>
      <x:c r="B42" s="175" t="s">
        <x:v>222</x:v>
      </x:c>
      <x:c r="C42" s="259"/>
      <x:c r="D42" s="255"/>
      <x:c r="E42" s="255" t="s">
        <x:v>661</x:v>
      </x:c>
      <x:c r="F42" s="255" t="s">
        <x:v>662</x:v>
      </x:c>
      <x:c r="G42" s="259"/>
      <x:c r="H42" s="259"/>
      <x:c r="I42" s="259"/>
      <x:c r="J42" s="235" t="str">
        <x:f t="shared" si="2"/>
      </x:c>
      <x:c r="K42" s="235" t="str">
        <x:f t="shared" si="3"/>
      </x:c>
      <x:c r="L42" s="384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 ht="42" customHeight="1">
      <x:c r="A43" s="385" t="s">
        <x:v>216</x:v>
      </x:c>
      <x:c r="B43" s="175" t="s">
        <x:v>225</x:v>
      </x:c>
      <x:c r="C43" s="259"/>
      <x:c r="D43" s="255"/>
      <x:c r="E43" s="255" t="s">
        <x:v>661</x:v>
      </x:c>
      <x:c r="F43" s="255" t="s">
        <x:v>663</x:v>
      </x:c>
      <x:c r="G43" s="259"/>
      <x:c r="H43" s="259"/>
      <x:c r="I43" s="259"/>
      <x:c r="J43" s="235" t="str">
        <x:f t="shared" si="2"/>
      </x:c>
      <x:c r="K43" s="235" t="str">
        <x:f t="shared" si="3"/>
      </x:c>
      <x:c r="L43" s="384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 ht="42" customHeight="1">
      <x:c r="A44" s="385" t="s">
        <x:v>216</x:v>
      </x:c>
      <x:c r="B44" s="175" t="s">
        <x:v>230</x:v>
      </x:c>
      <x:c r="C44" s="259"/>
      <x:c r="D44" s="255"/>
      <x:c r="E44" s="255" t="s">
        <x:v>661</x:v>
      </x:c>
      <x:c r="F44" s="255" t="s">
        <x:v>664</x:v>
      </x:c>
      <x:c r="G44" s="259"/>
      <x:c r="H44" s="259"/>
      <x:c r="I44" s="259"/>
      <x:c r="J44" s="235" t="str">
        <x:f t="shared" si="2"/>
      </x:c>
      <x:c r="K44" s="235" t="str">
        <x:f t="shared" si="3"/>
      </x:c>
      <x:c r="L44" s="384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 ht="42" customHeight="1">
      <x:c r="A45" s="385" t="s">
        <x:v>216</x:v>
      </x:c>
      <x:c r="B45" s="175" t="s">
        <x:v>234</x:v>
      </x:c>
      <x:c r="C45" s="259"/>
      <x:c r="D45" s="255"/>
      <x:c r="E45" s="255" t="s">
        <x:v>661</x:v>
      </x:c>
      <x:c r="F45" s="255" t="s">
        <x:v>665</x:v>
      </x:c>
      <x:c r="G45" s="259"/>
      <x:c r="H45" s="259"/>
      <x:c r="I45" s="259"/>
      <x:c r="J45" s="235" t="str">
        <x:f t="shared" si="2"/>
      </x:c>
      <x:c r="K45" s="235" t="str">
        <x:f t="shared" si="3"/>
      </x:c>
      <x:c r="L45" s="384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 ht="42" customHeight="1">
      <x:c r="A46" s="385" t="s">
        <x:v>216</x:v>
      </x:c>
      <x:c r="B46" s="175" t="s">
        <x:v>239</x:v>
      </x:c>
      <x:c r="C46" s="259"/>
      <x:c r="D46" s="255"/>
      <x:c r="E46" s="255" t="s">
        <x:v>666</x:v>
      </x:c>
      <x:c r="F46" s="255" t="s">
        <x:v>667</x:v>
      </x:c>
      <x:c r="G46" s="259"/>
      <x:c r="H46" s="259"/>
      <x:c r="I46" s="259"/>
      <x:c r="J46" s="235" t="str">
        <x:f t="shared" si="2"/>
      </x:c>
      <x:c r="K46" s="235" t="str">
        <x:f t="shared" si="3"/>
      </x:c>
      <x:c r="L46" s="384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 ht="42" customHeight="1">
      <x:c r="A47" s="385" t="s">
        <x:v>216</x:v>
      </x:c>
      <x:c r="B47" s="175" t="s">
        <x:v>243</x:v>
      </x:c>
      <x:c r="C47" s="259"/>
      <x:c r="D47" s="255"/>
      <x:c r="E47" s="255" t="s">
        <x:v>661</x:v>
      </x:c>
      <x:c r="F47" s="255" t="s">
        <x:v>668</x:v>
      </x:c>
      <x:c r="G47" s="259"/>
      <x:c r="H47" s="259"/>
      <x:c r="I47" s="259"/>
      <x:c r="J47" s="235" t="str">
        <x:f t="shared" si="2"/>
      </x:c>
      <x:c r="K47" s="235" t="str">
        <x:f t="shared" si="3"/>
      </x:c>
      <x:c r="L47" s="384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 ht="42" customHeight="1">
      <x:c r="A48" s="385" t="s">
        <x:v>216</x:v>
      </x:c>
      <x:c r="B48" s="175" t="s">
        <x:v>669</x:v>
      </x:c>
      <x:c r="C48" s="259"/>
      <x:c r="D48" s="255"/>
      <x:c r="E48" s="255" t="s">
        <x:v>617</x:v>
      </x:c>
      <x:c r="F48" s="255" t="s">
        <x:v>670</x:v>
      </x:c>
      <x:c r="G48" s="259"/>
      <x:c r="H48" s="259"/>
      <x:c r="I48" s="259"/>
      <x:c r="J48" s="235" t="str">
        <x:f t="shared" si="2"/>
      </x:c>
      <x:c r="K48" s="235" t="str">
        <x:f t="shared" si="3"/>
      </x:c>
      <x:c r="L48" s="384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 ht="42" customHeight="1">
      <x:c r="A49" s="383" t="s">
        <x:v>671</x:v>
      </x:c>
      <x:c r="B49" s="175" t="s">
        <x:v>672</x:v>
      </x:c>
      <x:c r="C49" s="259"/>
      <x:c r="D49" s="255"/>
      <x:c r="E49" s="255" t="s">
        <x:v>661</x:v>
      </x:c>
      <x:c r="F49" s="255" t="s">
        <x:v>673</x:v>
      </x:c>
      <x:c r="G49" s="259"/>
      <x:c r="H49" s="259"/>
      <x:c r="I49" s="259"/>
      <x:c r="J49" s="235" t="str">
        <x:f t="shared" si="2"/>
      </x:c>
      <x:c r="K49" s="235" t="str">
        <x:f t="shared" si="3"/>
      </x:c>
      <x:c r="L49" s="384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 ht="42" customHeight="1">
      <x:c r="A50" s="385" t="s">
        <x:v>671</x:v>
      </x:c>
      <x:c r="B50" s="175" t="s">
        <x:v>674</x:v>
      </x:c>
      <x:c r="C50" s="259"/>
      <x:c r="D50" s="255"/>
      <x:c r="E50" s="255" t="s">
        <x:v>675</x:v>
      </x:c>
      <x:c r="F50" s="255" t="s">
        <x:v>676</x:v>
      </x:c>
      <x:c r="G50" s="259"/>
      <x:c r="H50" s="259"/>
      <x:c r="I50" s="259"/>
      <x:c r="J50" s="235" t="str">
        <x:f t="shared" si="2"/>
      </x:c>
      <x:c r="K50" s="235" t="str">
        <x:f t="shared" si="3"/>
      </x:c>
      <x:c r="L50" s="384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 ht="42" customHeight="1">
      <x:c r="A51" s="385" t="s">
        <x:v>671</x:v>
      </x:c>
      <x:c r="B51" s="175" t="s">
        <x:v>677</x:v>
      </x:c>
      <x:c r="C51" s="259"/>
      <x:c r="D51" s="255"/>
      <x:c r="E51" s="255" t="s">
        <x:v>678</x:v>
      </x:c>
      <x:c r="F51" s="255" t="s">
        <x:v>679</x:v>
      </x:c>
      <x:c r="G51" s="259"/>
      <x:c r="H51" s="259"/>
      <x:c r="I51" s="259"/>
      <x:c r="J51" s="235" t="str">
        <x:f t="shared" si="2"/>
      </x:c>
      <x:c r="K51" s="235" t="str">
        <x:f t="shared" si="3"/>
      </x:c>
      <x:c r="L51" s="384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 ht="42" customHeight="1">
      <x:c r="A52" s="385" t="s">
        <x:v>671</x:v>
      </x:c>
      <x:c r="B52" s="175" t="s">
        <x:v>680</x:v>
      </x:c>
      <x:c r="C52" s="259"/>
      <x:c r="D52" s="255"/>
      <x:c r="E52" s="255" t="s">
        <x:v>681</x:v>
      </x:c>
      <x:c r="F52" s="255" t="s">
        <x:v>682</x:v>
      </x:c>
      <x:c r="G52" s="259"/>
      <x:c r="H52" s="259"/>
      <x:c r="I52" s="259"/>
      <x:c r="J52" s="235" t="str">
        <x:f t="shared" si="2"/>
      </x:c>
      <x:c r="K52" s="235" t="str">
        <x:f t="shared" si="3"/>
      </x:c>
      <x:c r="L52" s="384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 ht="42" customHeight="1">
      <x:c r="A53" s="383" t="s">
        <x:v>683</x:v>
      </x:c>
      <x:c r="B53" s="175" t="s">
        <x:v>684</x:v>
      </x:c>
      <x:c r="C53" s="259"/>
      <x:c r="D53" s="255"/>
      <x:c r="E53" s="255" t="s">
        <x:v>611</x:v>
      </x:c>
      <x:c r="F53" s="255" t="s">
        <x:v>685</x:v>
      </x:c>
      <x:c r="G53" s="259"/>
      <x:c r="H53" s="259"/>
      <x:c r="I53" s="259"/>
      <x:c r="J53" s="235" t="str">
        <x:f t="shared" si="2"/>
      </x:c>
      <x:c r="K53" s="235" t="str">
        <x:f t="shared" si="3"/>
      </x:c>
      <x:c r="L53" s="384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 ht="42" customHeight="1">
      <x:c r="A54" s="385" t="s">
        <x:v>683</x:v>
      </x:c>
      <x:c r="B54" s="175" t="s">
        <x:v>686</x:v>
      </x:c>
      <x:c r="C54" s="259"/>
      <x:c r="D54" s="255"/>
      <x:c r="E54" s="255" t="s">
        <x:v>611</x:v>
      </x:c>
      <x:c r="F54" s="255" t="s">
        <x:v>687</x:v>
      </x:c>
      <x:c r="G54" s="259"/>
      <x:c r="H54" s="259"/>
      <x:c r="I54" s="259"/>
      <x:c r="J54" s="235" t="str">
        <x:f t="shared" si="2"/>
      </x:c>
      <x:c r="K54" s="235" t="str">
        <x:f t="shared" si="3"/>
      </x:c>
      <x:c r="L54" s="384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 ht="42" customHeight="1">
      <x:c r="A55" s="385" t="s">
        <x:v>683</x:v>
      </x:c>
      <x:c r="B55" s="175" t="s">
        <x:v>688</x:v>
      </x:c>
      <x:c r="C55" s="259"/>
      <x:c r="D55" s="255"/>
      <x:c r="E55" s="255" t="s">
        <x:v>617</x:v>
      </x:c>
      <x:c r="F55" s="255" t="s">
        <x:v>689</x:v>
      </x:c>
      <x:c r="G55" s="259"/>
      <x:c r="H55" s="259"/>
      <x:c r="I55" s="259"/>
      <x:c r="J55" s="235" t="str">
        <x:f t="shared" si="2"/>
      </x:c>
      <x:c r="K55" s="235" t="str">
        <x:f t="shared" si="3"/>
      </x:c>
      <x:c r="L55" s="384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 ht="42" customHeight="1">
      <x:c r="A56" s="385" t="s">
        <x:v>683</x:v>
      </x:c>
      <x:c r="B56" s="175" t="s">
        <x:v>690</x:v>
      </x:c>
      <x:c r="C56" s="259"/>
      <x:c r="D56" s="255"/>
      <x:c r="E56" s="255" t="s">
        <x:v>691</x:v>
      </x:c>
      <x:c r="F56" s="255" t="s">
        <x:v>692</x:v>
      </x:c>
      <x:c r="G56" s="259"/>
      <x:c r="H56" s="259"/>
      <x:c r="I56" s="259"/>
      <x:c r="J56" s="235" t="str">
        <x:f t="shared" si="2"/>
      </x:c>
      <x:c r="K56" s="235" t="str">
        <x:f t="shared" si="3"/>
      </x:c>
      <x:c r="L56" s="384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 ht="42" customHeight="1">
      <x:c r="A57" s="385" t="s">
        <x:v>683</x:v>
      </x:c>
      <x:c r="B57" s="175" t="s">
        <x:v>693</x:v>
      </x:c>
      <x:c r="C57" s="259"/>
      <x:c r="D57" s="255"/>
      <x:c r="E57" s="255" t="s">
        <x:v>694</x:v>
      </x:c>
      <x:c r="F57" s="255" t="s">
        <x:v>695</x:v>
      </x:c>
      <x:c r="G57" s="259"/>
      <x:c r="H57" s="259"/>
      <x:c r="I57" s="259"/>
      <x:c r="J57" s="235" t="str">
        <x:f t="shared" si="2"/>
      </x:c>
      <x:c r="K57" s="235" t="str">
        <x:f t="shared" si="3"/>
      </x:c>
      <x:c r="L57" s="384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 ht="42" customHeight="1">
      <x:c r="A58" s="385" t="s">
        <x:v>683</x:v>
      </x:c>
      <x:c r="B58" s="175" t="s">
        <x:v>696</x:v>
      </x:c>
      <x:c r="C58" s="259"/>
      <x:c r="D58" s="255"/>
      <x:c r="E58" s="255" t="s">
        <x:v>611</x:v>
      </x:c>
      <x:c r="F58" s="255" t="s">
        <x:v>697</x:v>
      </x:c>
      <x:c r="G58" s="259"/>
      <x:c r="H58" s="259"/>
      <x:c r="I58" s="259"/>
      <x:c r="J58" s="235" t="str">
        <x:f t="shared" si="2"/>
      </x:c>
      <x:c r="K58" s="235" t="str">
        <x:f t="shared" si="3"/>
      </x:c>
      <x:c r="L58" s="384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 ht="42" customHeight="1">
      <x:c r="A59" s="385" t="s">
        <x:v>683</x:v>
      </x:c>
      <x:c r="B59" s="175" t="s">
        <x:v>698</x:v>
      </x:c>
      <x:c r="C59" s="259"/>
      <x:c r="D59" s="255"/>
      <x:c r="E59" s="255" t="s">
        <x:v>699</x:v>
      </x:c>
      <x:c r="F59" s="255" t="s">
        <x:v>700</x:v>
      </x:c>
      <x:c r="G59" s="259"/>
      <x:c r="H59" s="259"/>
      <x:c r="I59" s="259"/>
      <x:c r="J59" s="235" t="str">
        <x:f t="shared" si="2"/>
      </x:c>
      <x:c r="K59" s="235" t="str">
        <x:f t="shared" si="3"/>
      </x:c>
      <x:c r="L59" s="384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 ht="42" customHeight="1">
      <x:c r="A60" s="385" t="s">
        <x:v>683</x:v>
      </x:c>
      <x:c r="B60" s="175" t="s">
        <x:v>701</x:v>
      </x:c>
      <x:c r="C60" s="259"/>
      <x:c r="D60" s="255"/>
      <x:c r="E60" s="255" t="s">
        <x:v>702</x:v>
      </x:c>
      <x:c r="F60" s="255" t="s">
        <x:v>703</x:v>
      </x:c>
      <x:c r="G60" s="259"/>
      <x:c r="H60" s="259"/>
      <x:c r="I60" s="259"/>
      <x:c r="J60" s="235" t="str">
        <x:f t="shared" si="2"/>
      </x:c>
      <x:c r="K60" s="235" t="str">
        <x:f t="shared" si="3"/>
      </x:c>
      <x:c r="L60" s="384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 ht="42" customHeight="1">
      <x:c r="A61" s="385" t="s">
        <x:v>683</x:v>
      </x:c>
      <x:c r="B61" s="175" t="s">
        <x:v>704</x:v>
      </x:c>
      <x:c r="C61" s="259"/>
      <x:c r="D61" s="255"/>
      <x:c r="E61" s="255" t="s">
        <x:v>681</x:v>
      </x:c>
      <x:c r="F61" s="255" t="s">
        <x:v>705</x:v>
      </x:c>
      <x:c r="G61" s="259"/>
      <x:c r="H61" s="259"/>
      <x:c r="I61" s="259"/>
      <x:c r="J61" s="235" t="str">
        <x:f t="shared" si="2"/>
      </x:c>
      <x:c r="K61" s="235" t="str">
        <x:f t="shared" si="3"/>
      </x:c>
      <x:c r="L61" s="384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 ht="42" customHeight="1">
      <x:c r="A62" s="385" t="s">
        <x:v>683</x:v>
      </x:c>
      <x:c r="B62" s="175" t="s">
        <x:v>706</x:v>
      </x:c>
      <x:c r="C62" s="259"/>
      <x:c r="D62" s="255"/>
      <x:c r="E62" s="255" t="s">
        <x:v>681</x:v>
      </x:c>
      <x:c r="F62" s="255" t="s">
        <x:v>707</x:v>
      </x:c>
      <x:c r="G62" s="259"/>
      <x:c r="H62" s="259"/>
      <x:c r="I62" s="259"/>
      <x:c r="J62" s="235" t="str">
        <x:f t="shared" si="2"/>
      </x:c>
      <x:c r="K62" s="235" t="str">
        <x:f t="shared" si="3"/>
      </x:c>
      <x:c r="L62" s="384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 ht="42" customHeight="1">
      <x:c r="A63" s="385" t="s">
        <x:v>683</x:v>
      </x:c>
      <x:c r="B63" s="175" t="s">
        <x:v>708</x:v>
      </x:c>
      <x:c r="C63" s="259"/>
      <x:c r="D63" s="255"/>
      <x:c r="E63" s="255" t="s">
        <x:v>661</x:v>
      </x:c>
      <x:c r="F63" s="255" t="s">
        <x:v>709</x:v>
      </x:c>
      <x:c r="G63" s="259"/>
      <x:c r="H63" s="259"/>
      <x:c r="I63" s="259"/>
      <x:c r="J63" s="235" t="str">
        <x:f t="shared" si="2"/>
      </x:c>
      <x:c r="K63" s="235" t="str">
        <x:f t="shared" si="3"/>
      </x:c>
      <x:c r="L63" s="384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 ht="42" customHeight="1">
      <x:c r="A64" s="385" t="s">
        <x:v>683</x:v>
      </x:c>
      <x:c r="B64" s="175" t="s">
        <x:v>710</x:v>
      </x:c>
      <x:c r="C64" s="259"/>
      <x:c r="D64" s="255"/>
      <x:c r="E64" s="255" t="s">
        <x:v>617</x:v>
      </x:c>
      <x:c r="F64" s="255" t="s">
        <x:v>711</x:v>
      </x:c>
      <x:c r="G64" s="259"/>
      <x:c r="H64" s="259"/>
      <x:c r="I64" s="259"/>
      <x:c r="J64" s="235" t="str">
        <x:f t="shared" si="2"/>
      </x:c>
      <x:c r="K64" s="235" t="str">
        <x:f t="shared" si="3"/>
      </x:c>
      <x:c r="L64" s="384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 ht="42" customHeight="1">
      <x:c r="A65" s="385" t="s">
        <x:v>683</x:v>
      </x:c>
      <x:c r="B65" s="175" t="s">
        <x:v>712</x:v>
      </x:c>
      <x:c r="C65" s="259"/>
      <x:c r="D65" s="255"/>
      <x:c r="E65" s="255" t="s">
        <x:v>611</x:v>
      </x:c>
      <x:c r="F65" s="255" t="s">
        <x:v>713</x:v>
      </x:c>
      <x:c r="G65" s="259"/>
      <x:c r="H65" s="259"/>
      <x:c r="I65" s="259"/>
      <x:c r="J65" s="235" t="str">
        <x:f t="shared" si="2"/>
      </x:c>
      <x:c r="K65" s="235" t="str">
        <x:f t="shared" si="3"/>
      </x:c>
      <x:c r="L65" s="384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 ht="42" customHeight="1">
      <x:c r="A66" s="383" t="s">
        <x:v>252</x:v>
      </x:c>
      <x:c r="B66" s="175" t="s">
        <x:v>714</x:v>
      </x:c>
      <x:c r="C66" s="259"/>
      <x:c r="D66" s="255"/>
      <x:c r="E66" s="255" t="s">
        <x:v>715</x:v>
      </x:c>
      <x:c r="F66" s="255" t="s">
        <x:v>716</x:v>
      </x:c>
      <x:c r="G66" s="259"/>
      <x:c r="H66" s="259"/>
      <x:c r="I66" s="259"/>
      <x:c r="J66" s="235" t="str">
        <x:f t="shared" si="2"/>
      </x:c>
      <x:c r="K66" s="235" t="str">
        <x:f t="shared" si="3"/>
      </x:c>
      <x:c r="L66" s="384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 ht="42" customHeight="1">
      <x:c r="A67" s="385" t="s">
        <x:v>252</x:v>
      </x:c>
      <x:c r="B67" s="175" t="s">
        <x:v>258</x:v>
      </x:c>
      <x:c r="C67" s="259"/>
      <x:c r="D67" s="255"/>
      <x:c r="E67" s="255" t="s">
        <x:v>691</x:v>
      </x:c>
      <x:c r="F67" s="255" t="s">
        <x:v>717</x:v>
      </x:c>
      <x:c r="G67" s="259"/>
      <x:c r="H67" s="259"/>
      <x:c r="I67" s="259"/>
      <x:c r="J67" s="235" t="str">
        <x:f t="shared" si="2"/>
      </x:c>
      <x:c r="K67" s="235" t="str">
        <x:f t="shared" si="3"/>
      </x:c>
      <x:c r="L67" s="384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 ht="42" customHeight="1">
      <x:c r="A68" s="385" t="s">
        <x:v>252</x:v>
      </x:c>
      <x:c r="B68" s="175" t="s">
        <x:v>263</x:v>
      </x:c>
      <x:c r="C68" s="259"/>
      <x:c r="D68" s="255"/>
      <x:c r="E68" s="255" t="s">
        <x:v>666</x:v>
      </x:c>
      <x:c r="F68" s="255" t="s">
        <x:v>718</x:v>
      </x:c>
      <x:c r="G68" s="259"/>
      <x:c r="H68" s="259"/>
      <x:c r="I68" s="259"/>
      <x:c r="J68" s="235" t="str">
        <x:f t="shared" si="2"/>
      </x:c>
      <x:c r="K68" s="235" t="str">
        <x:f t="shared" si="3"/>
      </x:c>
      <x:c r="L68" s="384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 ht="42" customHeight="1">
      <x:c r="A69" s="385" t="s">
        <x:v>252</x:v>
      </x:c>
      <x:c r="B69" s="175" t="s">
        <x:v>719</x:v>
      </x:c>
      <x:c r="C69" s="259"/>
      <x:c r="D69" s="255"/>
      <x:c r="E69" s="255" t="s">
        <x:v>681</x:v>
      </x:c>
      <x:c r="F69" s="255" t="s">
        <x:v>720</x:v>
      </x:c>
      <x:c r="G69" s="259"/>
      <x:c r="H69" s="259"/>
      <x:c r="I69" s="259"/>
      <x:c r="J69" s="235" t="str">
        <x:f t="shared" si="2"/>
      </x:c>
      <x:c r="K69" s="235" t="str">
        <x:f t="shared" si="3"/>
      </x:c>
      <x:c r="L69" s="384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 ht="42" customHeight="1">
      <x:c r="A70" s="385" t="s">
        <x:v>252</x:v>
      </x:c>
      <x:c r="B70" s="175" t="s">
        <x:v>721</x:v>
      </x:c>
      <x:c r="C70" s="259"/>
      <x:c r="D70" s="255"/>
      <x:c r="E70" s="255" t="s">
        <x:v>661</x:v>
      </x:c>
      <x:c r="F70" s="255" t="s">
        <x:v>722</x:v>
      </x:c>
      <x:c r="G70" s="259"/>
      <x:c r="H70" s="259"/>
      <x:c r="I70" s="259"/>
      <x:c r="J70" s="235" t="str">
        <x:f t="shared" si="2"/>
      </x:c>
      <x:c r="K70" s="235" t="str">
        <x:f t="shared" si="3"/>
      </x:c>
      <x:c r="L70" s="384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 ht="42" customHeight="1">
      <x:c r="A71" s="385" t="s">
        <x:v>252</x:v>
      </x:c>
      <x:c r="B71" s="175" t="s">
        <x:v>723</x:v>
      </x:c>
      <x:c r="C71" s="259"/>
      <x:c r="D71" s="255"/>
      <x:c r="E71" s="255" t="s">
        <x:v>661</x:v>
      </x:c>
      <x:c r="F71" s="255" t="s">
        <x:v>724</x:v>
      </x:c>
      <x:c r="G71" s="259"/>
      <x:c r="H71" s="259"/>
      <x:c r="I71" s="259"/>
      <x:c r="J71" s="235" t="str">
        <x:f t="shared" ref="J71:J89" si="4">IF(COUNT(G71:I71)=3,G71*H71*I71,"")</x:f>
      </x:c>
      <x:c r="K71" s="235" t="str">
        <x:f t="shared" ref="K71:K89" si="5">IF(J71="","",IF(J71&gt;=512,"Prioridade 1",IF(J71&gt;=108,"Prioridade 2","Prioridade 3")))</x:f>
      </x:c>
      <x:c r="L71" s="384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 ht="42" customHeight="1">
      <x:c r="A72" s="383" t="s">
        <x:v>288</x:v>
      </x:c>
      <x:c r="B72" s="175" t="s">
        <x:v>289</x:v>
      </x:c>
      <x:c r="C72" s="259"/>
      <x:c r="D72" s="255"/>
      <x:c r="E72" s="255" t="s">
        <x:v>725</x:v>
      </x:c>
      <x:c r="F72" s="255" t="s">
        <x:v>726</x:v>
      </x:c>
      <x:c r="G72" s="259"/>
      <x:c r="H72" s="259"/>
      <x:c r="I72" s="259"/>
      <x:c r="J72" s="235" t="str">
        <x:f t="shared" si="4"/>
      </x:c>
      <x:c r="K72" s="235" t="str">
        <x:f t="shared" si="5"/>
      </x:c>
      <x:c r="L72" s="384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 ht="42" customHeight="1">
      <x:c r="A73" s="385" t="s">
        <x:v>288</x:v>
      </x:c>
      <x:c r="B73" s="175" t="s">
        <x:v>294</x:v>
      </x:c>
      <x:c r="C73" s="259"/>
      <x:c r="D73" s="255"/>
      <x:c r="E73" s="255" t="s">
        <x:v>727</x:v>
      </x:c>
      <x:c r="F73" s="255" t="s">
        <x:v>728</x:v>
      </x:c>
      <x:c r="G73" s="259"/>
      <x:c r="H73" s="259"/>
      <x:c r="I73" s="259"/>
      <x:c r="J73" s="235" t="str">
        <x:f t="shared" si="4"/>
      </x:c>
      <x:c r="K73" s="235" t="str">
        <x:f t="shared" si="5"/>
      </x:c>
      <x:c r="L73" s="384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 ht="42" customHeight="1">
      <x:c r="A74" s="385" t="s">
        <x:v>288</x:v>
      </x:c>
      <x:c r="B74" s="175" t="s">
        <x:v>303</x:v>
      </x:c>
      <x:c r="C74" s="259"/>
      <x:c r="D74" s="255"/>
      <x:c r="E74" s="255" t="s">
        <x:v>611</x:v>
      </x:c>
      <x:c r="F74" s="255" t="s">
        <x:v>729</x:v>
      </x:c>
      <x:c r="G74" s="259"/>
      <x:c r="H74" s="259"/>
      <x:c r="I74" s="259"/>
      <x:c r="J74" s="235" t="str">
        <x:f t="shared" si="4"/>
      </x:c>
      <x:c r="K74" s="235" t="str">
        <x:f t="shared" si="5"/>
      </x:c>
      <x:c r="L74" s="384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 ht="42" customHeight="1">
      <x:c r="A75" s="385" t="s">
        <x:v>288</x:v>
      </x:c>
      <x:c r="B75" s="175" t="s">
        <x:v>307</x:v>
      </x:c>
      <x:c r="C75" s="259"/>
      <x:c r="D75" s="255"/>
      <x:c r="E75" s="255" t="s">
        <x:v>730</x:v>
      </x:c>
      <x:c r="F75" s="255" t="s">
        <x:v>731</x:v>
      </x:c>
      <x:c r="G75" s="259"/>
      <x:c r="H75" s="259"/>
      <x:c r="I75" s="259"/>
      <x:c r="J75" s="235" t="str">
        <x:f t="shared" si="4"/>
      </x:c>
      <x:c r="K75" s="235" t="str">
        <x:f t="shared" si="5"/>
      </x:c>
      <x:c r="L75" s="384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 ht="42" customHeight="1">
      <x:c r="A76" s="385" t="s">
        <x:v>288</x:v>
      </x:c>
      <x:c r="B76" s="175" t="s">
        <x:v>732</x:v>
      </x:c>
      <x:c r="C76" s="259"/>
      <x:c r="D76" s="255"/>
      <x:c r="E76" s="255" t="s">
        <x:v>634</x:v>
      </x:c>
      <x:c r="F76" s="255" t="s">
        <x:v>733</x:v>
      </x:c>
      <x:c r="G76" s="259"/>
      <x:c r="H76" s="259"/>
      <x:c r="I76" s="259"/>
      <x:c r="J76" s="235" t="str">
        <x:f t="shared" si="4"/>
      </x:c>
      <x:c r="K76" s="235" t="str">
        <x:f t="shared" si="5"/>
      </x:c>
      <x:c r="L76" s="384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 ht="42" customHeight="1">
      <x:c r="A77" s="385" t="s">
        <x:v>288</x:v>
      </x:c>
      <x:c r="B77" s="175" t="s">
        <x:v>734</x:v>
      </x:c>
      <x:c r="C77" s="259"/>
      <x:c r="D77" s="255"/>
      <x:c r="E77" s="255" t="s">
        <x:v>735</x:v>
      </x:c>
      <x:c r="F77" s="255" t="s">
        <x:v>736</x:v>
      </x:c>
      <x:c r="G77" s="259"/>
      <x:c r="H77" s="259"/>
      <x:c r="I77" s="259"/>
      <x:c r="J77" s="235" t="str">
        <x:f t="shared" si="4"/>
      </x:c>
      <x:c r="K77" s="235" t="str">
        <x:f t="shared" si="5"/>
      </x:c>
      <x:c r="L77" s="384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 ht="42" customHeight="1">
      <x:c r="A78" s="383" t="s">
        <x:v>320</x:v>
      </x:c>
      <x:c r="B78" s="175" t="s">
        <x:v>321</x:v>
      </x:c>
      <x:c r="C78" s="259"/>
      <x:c r="D78" s="255"/>
      <x:c r="E78" s="255" t="s">
        <x:v>737</x:v>
      </x:c>
      <x:c r="F78" s="255" t="s">
        <x:v>738</x:v>
      </x:c>
      <x:c r="G78" s="259"/>
      <x:c r="H78" s="259"/>
      <x:c r="I78" s="259"/>
      <x:c r="J78" s="235" t="str">
        <x:f t="shared" si="4"/>
      </x:c>
      <x:c r="K78" s="235" t="str">
        <x:f t="shared" si="5"/>
      </x:c>
      <x:c r="L78" s="384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 ht="42" customHeight="1">
      <x:c r="A79" s="385" t="s">
        <x:v>320</x:v>
      </x:c>
      <x:c r="B79" s="175" t="s">
        <x:v>326</x:v>
      </x:c>
      <x:c r="C79" s="259"/>
      <x:c r="D79" s="255"/>
      <x:c r="E79" s="255" t="s">
        <x:v>657</x:v>
      </x:c>
      <x:c r="F79" s="255" t="s">
        <x:v>739</x:v>
      </x:c>
      <x:c r="G79" s="259"/>
      <x:c r="H79" s="259"/>
      <x:c r="I79" s="259"/>
      <x:c r="J79" s="235" t="str">
        <x:f t="shared" si="4"/>
      </x:c>
      <x:c r="K79" s="235" t="str">
        <x:f t="shared" si="5"/>
      </x:c>
      <x:c r="L79" s="384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 ht="42" customHeight="1">
      <x:c r="A80" s="385" t="s">
        <x:v>320</x:v>
      </x:c>
      <x:c r="B80" s="175" t="s">
        <x:v>331</x:v>
      </x:c>
      <x:c r="C80" s="259"/>
      <x:c r="D80" s="255"/>
      <x:c r="E80" s="255" t="s">
        <x:v>649</x:v>
      </x:c>
      <x:c r="F80" s="255" t="s">
        <x:v>740</x:v>
      </x:c>
      <x:c r="G80" s="259"/>
      <x:c r="H80" s="259"/>
      <x:c r="I80" s="259"/>
      <x:c r="J80" s="235" t="str">
        <x:f t="shared" si="4"/>
      </x:c>
      <x:c r="K80" s="235" t="str">
        <x:f t="shared" si="5"/>
      </x:c>
      <x:c r="L80" s="384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 ht="42" customHeight="1">
      <x:c r="A81" s="385" t="s">
        <x:v>320</x:v>
      </x:c>
      <x:c r="B81" s="175" t="s">
        <x:v>336</x:v>
      </x:c>
      <x:c r="C81" s="259"/>
      <x:c r="D81" s="255"/>
      <x:c r="E81" s="255" t="s">
        <x:v>741</x:v>
      </x:c>
      <x:c r="F81" s="255" t="s">
        <x:v>742</x:v>
      </x:c>
      <x:c r="G81" s="259"/>
      <x:c r="H81" s="259"/>
      <x:c r="I81" s="259"/>
      <x:c r="J81" s="235" t="str">
        <x:f t="shared" si="4"/>
      </x:c>
      <x:c r="K81" s="235" t="str">
        <x:f t="shared" si="5"/>
      </x:c>
      <x:c r="L81" s="384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 ht="42" customHeight="1">
      <x:c r="A82" s="383" t="s">
        <x:v>404</x:v>
      </x:c>
      <x:c r="B82" s="175" t="s">
        <x:v>743</x:v>
      </x:c>
      <x:c r="C82" s="259"/>
      <x:c r="D82" s="255"/>
      <x:c r="E82" s="255" t="s">
        <x:v>744</x:v>
      </x:c>
      <x:c r="F82" s="255" t="s">
        <x:v>745</x:v>
      </x:c>
      <x:c r="G82" s="259"/>
      <x:c r="H82" s="259"/>
      <x:c r="I82" s="259"/>
      <x:c r="J82" s="235" t="str">
        <x:f t="shared" si="4"/>
      </x:c>
      <x:c r="K82" s="235" t="str">
        <x:f t="shared" si="5"/>
      </x:c>
      <x:c r="L82" s="384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 ht="42" customHeight="1">
      <x:c r="A83" s="385" t="s">
        <x:v>404</x:v>
      </x:c>
      <x:c r="B83" s="175" t="s">
        <x:v>746</x:v>
      </x:c>
      <x:c r="C83" s="259"/>
      <x:c r="D83" s="255"/>
      <x:c r="E83" s="255" t="s">
        <x:v>657</x:v>
      </x:c>
      <x:c r="F83" s="255" t="s">
        <x:v>747</x:v>
      </x:c>
      <x:c r="G83" s="259"/>
      <x:c r="H83" s="259"/>
      <x:c r="I83" s="259"/>
      <x:c r="J83" s="235" t="str">
        <x:f t="shared" si="4"/>
      </x:c>
      <x:c r="K83" s="235" t="str">
        <x:f t="shared" si="5"/>
      </x:c>
      <x:c r="L83" s="384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 ht="42" customHeight="1">
      <x:c r="A84" s="385" t="s">
        <x:v>404</x:v>
      </x:c>
      <x:c r="B84" s="175" t="s">
        <x:v>748</x:v>
      </x:c>
      <x:c r="C84" s="259"/>
      <x:c r="D84" s="255"/>
      <x:c r="E84" s="255" t="s">
        <x:v>627</x:v>
      </x:c>
      <x:c r="F84" s="255" t="s">
        <x:v>749</x:v>
      </x:c>
      <x:c r="G84" s="259"/>
      <x:c r="H84" s="259"/>
      <x:c r="I84" s="259"/>
      <x:c r="J84" s="235" t="str">
        <x:f t="shared" si="4"/>
      </x:c>
      <x:c r="K84" s="235" t="str">
        <x:f t="shared" si="5"/>
      </x:c>
      <x:c r="L84" s="384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 ht="42" customHeight="1">
      <x:c r="A85" s="385" t="s">
        <x:v>404</x:v>
      </x:c>
      <x:c r="B85" s="175" t="s">
        <x:v>750</x:v>
      </x:c>
      <x:c r="C85" s="259"/>
      <x:c r="D85" s="255"/>
      <x:c r="E85" s="255" t="s">
        <x:v>657</x:v>
      </x:c>
      <x:c r="F85" s="255" t="s">
        <x:v>751</x:v>
      </x:c>
      <x:c r="G85" s="259"/>
      <x:c r="H85" s="259"/>
      <x:c r="I85" s="259"/>
      <x:c r="J85" s="235" t="str">
        <x:f t="shared" si="4"/>
      </x:c>
      <x:c r="K85" s="235" t="str">
        <x:f t="shared" si="5"/>
      </x:c>
      <x:c r="L85" s="384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 ht="42" customHeight="1">
      <x:c r="A86" s="385" t="s">
        <x:v>404</x:v>
      </x:c>
      <x:c r="B86" s="175" t="s">
        <x:v>752</x:v>
      </x:c>
      <x:c r="C86" s="259"/>
      <x:c r="D86" s="255"/>
      <x:c r="E86" s="255" t="s">
        <x:v>702</x:v>
      </x:c>
      <x:c r="F86" s="255" t="s">
        <x:v>753</x:v>
      </x:c>
      <x:c r="G86" s="259"/>
      <x:c r="H86" s="259"/>
      <x:c r="I86" s="259"/>
      <x:c r="J86" s="235" t="str">
        <x:f t="shared" si="4"/>
      </x:c>
      <x:c r="K86" s="235" t="str">
        <x:f t="shared" si="5"/>
      </x:c>
      <x:c r="L86" s="384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 ht="42" customHeight="1">
      <x:c r="A87" s="385" t="s">
        <x:v>404</x:v>
      </x:c>
      <x:c r="B87" s="175" t="s">
        <x:v>754</x:v>
      </x:c>
      <x:c r="C87" s="259"/>
      <x:c r="D87" s="255"/>
      <x:c r="E87" s="255" t="s">
        <x:v>702</x:v>
      </x:c>
      <x:c r="F87" s="255" t="s">
        <x:v>755</x:v>
      </x:c>
      <x:c r="G87" s="259"/>
      <x:c r="H87" s="259"/>
      <x:c r="I87" s="259"/>
      <x:c r="J87" s="235" t="str">
        <x:f t="shared" si="4"/>
      </x:c>
      <x:c r="K87" s="235" t="str">
        <x:f t="shared" si="5"/>
      </x:c>
      <x:c r="L87" s="384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 ht="42" customHeight="1">
      <x:c r="A88" s="385" t="s">
        <x:v>404</x:v>
      </x:c>
      <x:c r="B88" s="175" t="s">
        <x:v>756</x:v>
      </x:c>
      <x:c r="C88" s="259"/>
      <x:c r="D88" s="255"/>
      <x:c r="E88" s="255" t="s">
        <x:v>702</x:v>
      </x:c>
      <x:c r="F88" s="255" t="s">
        <x:v>757</x:v>
      </x:c>
      <x:c r="G88" s="259"/>
      <x:c r="H88" s="259"/>
      <x:c r="I88" s="259"/>
      <x:c r="J88" s="235" t="str">
        <x:f t="shared" si="4"/>
      </x:c>
      <x:c r="K88" s="235" t="str">
        <x:f t="shared" si="5"/>
      </x:c>
      <x:c r="L88" s="384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 ht="42" customHeight="1">
      <x:c r="A89" s="386" t="s">
        <x:v>404</x:v>
      </x:c>
      <x:c r="B89" s="387" t="s">
        <x:v>758</x:v>
      </x:c>
      <x:c r="C89" s="388"/>
      <x:c r="D89" s="389"/>
      <x:c r="E89" s="389" t="s">
        <x:v>702</x:v>
      </x:c>
      <x:c r="F89" s="389" t="s">
        <x:v>759</x:v>
      </x:c>
      <x:c r="G89" s="388"/>
      <x:c r="H89" s="388"/>
      <x:c r="I89" s="388"/>
      <x:c r="J89" s="390" t="str">
        <x:f t="shared" si="4"/>
      </x:c>
      <x:c r="K89" s="390" t="str">
        <x:f t="shared" si="5"/>
      </x:c>
      <x:c r="L89" s="391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A5:A6"/>
    <x:mergeCell ref="A2:L2"/>
    <x:mergeCell ref="E5:E6"/>
    <x:mergeCell ref="B5:B6"/>
    <x:mergeCell ref="A1:L1"/>
    <x:mergeCell ref="C5:C6"/>
    <x:mergeCell ref="F5:F6"/>
    <x:mergeCell ref="A3:L3"/>
    <x:mergeCell ref="D5:D6"/>
    <x:mergeCell ref="G5:J5"/>
    <x:mergeCell ref="K5:K6"/>
    <x:mergeCell ref="L5:L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7109375" defaultRowHeight="15"/>
  <x:cols>
    <x:col min="1" max="1" width="24" hidden="0" customWidth="1"/>
    <x:col min="2" max="4" width="62" customWidth="1"/>
    <x:col min="2" max="2" width="36" hidden="0" customWidth="1"/>
    <x:col min="3" max="3" width="36" hidden="0" customWidth="1"/>
    <x:col min="4" max="4" width="36" hidden="0" customWidth="1"/>
  </x:cols>
  <x:sheetData>
    <x:row r="1" ht="15" customHeight="1">
      <x:c r="A1" s="407" t="s">
        <x:v>760</x:v>
      </x:c>
      <x:c r="B1" s="293"/>
      <x:c r="C1" s="293"/>
      <x:c r="D1" s="293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30" customHeight="1">
      <x:c r="A2" s="198" t="s">
        <x:v>761</x:v>
      </x:c>
      <x:c r="B2" s="294"/>
      <x:c r="C2" s="294"/>
      <x:c r="D2" s="294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>
      <x:c r="A3" s="295"/>
      <x:c r="B3" s="295"/>
      <x:c r="C3" s="295"/>
      <x:c r="D3" s="295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15" customHeight="1">
      <x:c r="A4" s="435" t="s">
        <x:v>762</x:v>
      </x:c>
      <x:c r="B4" s="141"/>
      <x:c r="C4" s="141"/>
      <x:c r="D4" s="141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15" customHeight="1">
      <x:c r="A5" s="230" t="s">
        <x:v>598</x:v>
      </x:c>
      <x:c r="B5" s="230" t="s">
        <x:v>595</x:v>
      </x:c>
      <x:c r="C5" s="230" t="s">
        <x:v>596</x:v>
      </x:c>
      <x:c r="D5" s="230" t="s">
        <x:v>597</x:v>
      </x:c>
      <x:c r="E5" s="160"/>
      <x:c r="F5" s="160"/>
      <x:c r="G5" s="160"/>
      <x:c r="H5" s="160"/>
      <x:c r="I5" s="160"/>
      <x:c r="J5" s="160"/>
      <x:c r="K5" s="160"/>
      <x:c r="L5" s="160"/>
      <x:c r="M5" s="160"/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30" customHeight="1">
      <x:c r="A6" s="246">
        <x:v>10</x:v>
      </x:c>
      <x:c r="B6" s="246" t="s">
        <x:v>763</x:v>
      </x:c>
      <x:c r="C6" s="246" t="s">
        <x:v>764</x:v>
      </x:c>
      <x:c r="D6" s="246" t="s">
        <x:v>765</x:v>
      </x:c>
      <x:c r="E6" s="160"/>
      <x:c r="F6" s="160"/>
      <x:c r="G6" s="160"/>
      <x:c r="H6" s="160"/>
      <x:c r="I6" s="160"/>
      <x:c r="J6" s="160"/>
      <x:c r="K6" s="160"/>
      <x:c r="L6" s="160"/>
      <x:c r="M6" s="160"/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30" customHeight="1">
      <x:c r="A7" s="246">
        <x:v>8</x:v>
      </x:c>
      <x:c r="B7" s="246" t="s">
        <x:v>766</x:v>
      </x:c>
      <x:c r="C7" s="246" t="s">
        <x:v>767</x:v>
      </x:c>
      <x:c r="D7" s="246" t="s">
        <x:v>768</x:v>
      </x:c>
      <x:c r="E7" s="160"/>
      <x:c r="F7" s="160"/>
      <x:c r="G7" s="160"/>
      <x:c r="H7" s="160"/>
      <x:c r="I7" s="160"/>
      <x:c r="J7" s="160"/>
      <x:c r="K7" s="160"/>
      <x:c r="L7" s="160"/>
      <x:c r="M7" s="160"/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30" customHeight="1">
      <x:c r="A8" s="246">
        <x:v>6</x:v>
      </x:c>
      <x:c r="B8" s="246" t="s">
        <x:v>769</x:v>
      </x:c>
      <x:c r="C8" s="246" t="s">
        <x:v>770</x:v>
      </x:c>
      <x:c r="D8" s="246" t="s">
        <x:v>771</x:v>
      </x:c>
      <x:c r="E8" s="160"/>
      <x:c r="F8" s="160"/>
      <x:c r="G8" s="160"/>
      <x:c r="H8" s="160"/>
      <x:c r="I8" s="160"/>
      <x:c r="J8" s="160"/>
      <x:c r="K8" s="160"/>
      <x:c r="L8" s="160"/>
      <x:c r="M8" s="160"/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30" customHeight="1">
      <x:c r="A9" s="246">
        <x:v>3</x:v>
      </x:c>
      <x:c r="B9" s="246" t="s">
        <x:v>772</x:v>
      </x:c>
      <x:c r="C9" s="246" t="s">
        <x:v>773</x:v>
      </x:c>
      <x:c r="D9" s="246" t="s">
        <x:v>774</x:v>
      </x:c>
      <x:c r="E9" s="160"/>
      <x:c r="F9" s="160"/>
      <x:c r="G9" s="160"/>
      <x:c r="H9" s="160"/>
      <x:c r="I9" s="160"/>
      <x:c r="J9" s="160"/>
      <x:c r="K9" s="160"/>
      <x:c r="L9" s="160"/>
      <x:c r="M9" s="160"/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30" customHeight="1">
      <x:c r="A10" s="246">
        <x:v>1</x:v>
      </x:c>
      <x:c r="B10" s="246" t="s">
        <x:v>775</x:v>
      </x:c>
      <x:c r="C10" s="246" t="s">
        <x:v>776</x:v>
      </x:c>
      <x:c r="D10" s="246" t="s">
        <x:v>777</x:v>
      </x:c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>
      <x:c r="A11" s="436"/>
      <x:c r="B11" s="295"/>
      <x:c r="C11" s="295"/>
      <x:c r="D11" s="437"/>
      <x:c r="E11" s="160"/>
      <x:c r="F11" s="160"/>
      <x:c r="G11" s="160"/>
      <x:c r="H11" s="160"/>
      <x:c r="I11" s="160"/>
      <x:c r="J11" s="160"/>
      <x:c r="K11" s="160"/>
      <x:c r="L11" s="160"/>
      <x:c r="M11" s="160"/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15" customHeight="1">
      <x:c r="A12" s="438" t="s">
        <x:v>778</x:v>
      </x:c>
      <x:c r="B12" s="141"/>
      <x:c r="C12" s="141"/>
      <x:c r="D12" s="439"/>
      <x:c r="E12" s="160"/>
      <x:c r="F12" s="160"/>
      <x:c r="G12" s="160"/>
      <x:c r="H12" s="160"/>
      <x:c r="I12" s="160"/>
      <x:c r="J12" s="160"/>
      <x:c r="K12" s="160"/>
      <x:c r="L12" s="160"/>
      <x:c r="M12" s="160"/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15" customHeight="1">
      <x:c r="A13" s="230" t="s">
        <x:v>413</x:v>
      </x:c>
      <x:c r="B13" s="230" t="s">
        <x:v>414</x:v>
      </x:c>
      <x:c r="C13" s="230" t="s">
        <x:v>779</x:v>
      </x:c>
      <x:c r="D13" s="437"/>
      <x:c r="E13" s="160"/>
      <x:c r="F13" s="160"/>
      <x:c r="G13" s="160"/>
      <x:c r="H13" s="160"/>
      <x:c r="I13" s="160"/>
      <x:c r="J13" s="160"/>
      <x:c r="K13" s="160"/>
      <x:c r="L13" s="160"/>
      <x:c r="M13" s="160"/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30" customHeight="1">
      <x:c r="A14" s="246" t="s">
        <x:v>780</x:v>
      </x:c>
      <x:c r="B14" s="246" t="s">
        <x:v>781</x:v>
      </x:c>
      <x:c r="C14" s="246" t="s">
        <x:v>782</x:v>
      </x:c>
      <x:c r="D14" s="437"/>
      <x:c r="E14" s="160"/>
      <x:c r="F14" s="160"/>
      <x:c r="G14" s="160"/>
      <x:c r="H14" s="160"/>
      <x:c r="I14" s="160"/>
      <x:c r="J14" s="160"/>
      <x:c r="K14" s="160"/>
      <x:c r="L14" s="160"/>
      <x:c r="M14" s="160"/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30" customHeight="1">
      <x:c r="A15" s="246" t="s">
        <x:v>783</x:v>
      </x:c>
      <x:c r="B15" s="246" t="s">
        <x:v>784</x:v>
      </x:c>
      <x:c r="C15" s="246" t="s">
        <x:v>785</x:v>
      </x:c>
      <x:c r="D15" s="437"/>
      <x:c r="E15" s="160"/>
      <x:c r="F15" s="160"/>
      <x:c r="G15" s="160"/>
      <x:c r="H15" s="160"/>
      <x:c r="I15" s="160"/>
      <x:c r="J15" s="160"/>
      <x:c r="K15" s="160"/>
      <x:c r="L15" s="160"/>
      <x:c r="M15" s="160"/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30" customHeight="1">
      <x:c r="A16" s="246" t="s">
        <x:v>786</x:v>
      </x:c>
      <x:c r="B16" s="246" t="s">
        <x:v>787</x:v>
      </x:c>
      <x:c r="C16" s="246" t="s">
        <x:v>788</x:v>
      </x:c>
      <x:c r="D16" s="437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>
      <x:c r="A17" s="436"/>
      <x:c r="B17" s="295"/>
      <x:c r="C17" s="295"/>
      <x:c r="D17" s="437"/>
      <x:c r="E17" s="160"/>
      <x:c r="F17" s="160"/>
      <x:c r="G17" s="160"/>
      <x:c r="H17" s="160"/>
      <x:c r="I17" s="160"/>
      <x:c r="J17" s="160"/>
      <x:c r="K17" s="160"/>
      <x:c r="L17" s="160"/>
      <x:c r="M17" s="160"/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15" customHeight="1">
      <x:c r="A18" s="438" t="s">
        <x:v>789</x:v>
      </x:c>
      <x:c r="B18" s="141"/>
      <x:c r="C18" s="141"/>
      <x:c r="D18" s="439"/>
      <x:c r="E18" s="160"/>
      <x:c r="F18" s="160"/>
      <x:c r="G18" s="160"/>
      <x:c r="H18" s="160"/>
      <x:c r="I18" s="160"/>
      <x:c r="J18" s="160"/>
      <x:c r="K18" s="160"/>
      <x:c r="L18" s="160"/>
      <x:c r="M18" s="160"/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15" customHeight="1">
      <x:c r="A19" s="230" t="s">
        <x:v>414</x:v>
      </x:c>
      <x:c r="B19" s="230" t="s">
        <x:v>592</x:v>
      </x:c>
      <x:c r="C19" s="295"/>
      <x:c r="D19" s="437"/>
      <x:c r="E19" s="160"/>
      <x:c r="F19" s="160"/>
      <x:c r="G19" s="160"/>
      <x:c r="H19" s="160"/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45.75" customHeight="1">
      <x:c r="A20" s="246" t="s">
        <x:v>781</x:v>
      </x:c>
      <x:c r="B20" s="246" t="s">
        <x:v>790</x:v>
      </x:c>
      <x:c r="C20" s="295"/>
      <x:c r="D20" s="437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 ht="45.75" customHeight="1">
      <x:c r="A21" s="246" t="s">
        <x:v>784</x:v>
      </x:c>
      <x:c r="B21" s="246" t="s">
        <x:v>791</x:v>
      </x:c>
      <x:c r="C21" s="295"/>
      <x:c r="D21" s="437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45.75" customHeight="1">
      <x:c r="A22" s="246" t="s">
        <x:v>787</x:v>
      </x:c>
      <x:c r="B22" s="246" t="s">
        <x:v>792</x:v>
      </x:c>
      <x:c r="C22" s="295"/>
      <x:c r="D22" s="437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>
      <x:c r="A23" s="436"/>
      <x:c r="B23" s="295"/>
      <x:c r="C23" s="295"/>
      <x:c r="D23" s="437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15" customHeight="1">
      <x:c r="A24" s="438" t="s">
        <x:v>793</x:v>
      </x:c>
      <x:c r="B24" s="141"/>
      <x:c r="C24" s="141"/>
      <x:c r="D24" s="439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15" customHeight="1">
      <x:c r="A25" s="230" t="s">
        <x:v>794</x:v>
      </x:c>
      <x:c r="B25" s="230" t="s">
        <x:v>795</x:v>
      </x:c>
      <x:c r="C25" s="295"/>
      <x:c r="D25" s="437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30" customHeight="1">
      <x:c r="A26" s="246" t="s">
        <x:v>796</x:v>
      </x:c>
      <x:c r="B26" s="246" t="s">
        <x:v>797</x:v>
      </x:c>
      <x:c r="C26" s="295"/>
      <x:c r="D26" s="437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30" customHeight="1">
      <x:c r="A27" s="246" t="s">
        <x:v>798</x:v>
      </x:c>
      <x:c r="B27" s="246" t="s">
        <x:v>799</x:v>
      </x:c>
      <x:c r="C27" s="295"/>
      <x:c r="D27" s="437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30" customHeight="1">
      <x:c r="A28" s="246" t="s">
        <x:v>800</x:v>
      </x:c>
      <x:c r="B28" s="246" t="s">
        <x:v>801</x:v>
      </x:c>
      <x:c r="C28" s="295"/>
      <x:c r="D28" s="437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75.75" customHeight="1">
      <x:c r="A29" s="246" t="s">
        <x:v>802</x:v>
      </x:c>
      <x:c r="B29" s="246" t="s">
        <x:v>803</x:v>
      </x:c>
      <x:c r="C29" s="295"/>
      <x:c r="D29" s="437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 ht="45.75" customHeight="1">
      <x:c r="A30" s="246" t="s">
        <x:v>611</x:v>
      </x:c>
      <x:c r="B30" s="246" t="s">
        <x:v>804</x:v>
      </x:c>
      <x:c r="C30" s="295"/>
      <x:c r="D30" s="437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60" customHeight="1">
      <x:c r="A31" s="427" t="s">
        <x:v>805</x:v>
      </x:c>
      <x:c r="B31" s="440"/>
      <x:c r="C31" s="440"/>
      <x:c r="D31" s="408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A31:C3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7" hidden="0" customWidth="1"/>
    <x:col min="4" max="4" width="20" hidden="0" customWidth="1"/>
    <x:col min="5" max="5" width="18" hidden="0" customWidth="1"/>
    <x:col min="6" max="6" width="34" hidden="0" customWidth="1"/>
    <x:col min="7" max="7" width="44" hidden="0" customWidth="1"/>
    <x:col min="8" max="8" width="48" hidden="0" customWidth="1"/>
  </x:cols>
  <x:sheetData>
    <x:row r="1" ht="20.25" customHeight="1">
      <x:c r="A1" s="148" t="s">
        <x:v>806</x:v>
      </x:c>
      <x:c r="B1" s="293"/>
      <x:c r="C1" s="293"/>
      <x:c r="D1" s="293"/>
      <x:c r="E1" s="293"/>
      <x:c r="F1" s="293"/>
      <x:c r="G1" s="293"/>
      <x:c r="H1" s="293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  <x:c r="U1" s="158"/>
      <x:c r="V1" s="158"/>
      <x:c r="W1" s="158"/>
      <x:c r="X1" s="158"/>
      <x:c r="Y1" s="158"/>
      <x:c r="Z1" s="158"/>
    </x:row>
    <x:row r="2" ht="31.899999618530273" customHeight="1">
      <x:c r="A2" s="154" t="s">
        <x:v>807</x:v>
      </x:c>
      <x:c r="B2" s="294"/>
      <x:c r="C2" s="294"/>
      <x:c r="D2" s="294"/>
      <x:c r="E2" s="294"/>
      <x:c r="F2" s="294"/>
      <x:c r="G2" s="294"/>
      <x:c r="H2" s="294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  <x:c r="U2" s="159"/>
      <x:c r="V2" s="159"/>
      <x:c r="W2" s="159"/>
      <x:c r="X2" s="159"/>
      <x:c r="Y2" s="159"/>
      <x:c r="Z2" s="159"/>
    </x:row>
    <x:row r="3">
      <x:c r="A3" s="295"/>
      <x:c r="B3" s="295"/>
      <x:c r="C3" s="295"/>
      <x:c r="D3" s="295"/>
      <x:c r="E3" s="295"/>
      <x:c r="F3" s="295"/>
      <x:c r="G3" s="295"/>
      <x:c r="H3" s="295"/>
      <x:c r="I3" s="160"/>
      <x:c r="J3" s="160"/>
      <x:c r="K3" s="160"/>
      <x:c r="L3" s="160"/>
      <x:c r="M3" s="160"/>
      <x:c r="N3" s="160"/>
      <x:c r="O3" s="160"/>
      <x:c r="P3" s="160"/>
      <x:c r="Q3" s="160"/>
      <x:c r="R3" s="160"/>
      <x:c r="S3" s="160"/>
      <x:c r="T3" s="160"/>
      <x:c r="U3" s="160"/>
      <x:c r="V3" s="160"/>
      <x:c r="W3" s="160"/>
      <x:c r="X3" s="160"/>
      <x:c r="Y3" s="160"/>
      <x:c r="Z3" s="160"/>
    </x:row>
    <x:row r="4" ht="18" customHeight="1">
      <x:c r="A4" s="447" t="s">
        <x:v>808</x:v>
      </x:c>
      <x:c r="B4" s="141"/>
      <x:c r="C4" s="141"/>
      <x:c r="D4" s="141"/>
      <x:c r="E4" s="141"/>
      <x:c r="F4" s="141"/>
      <x:c r="G4" s="141"/>
      <x:c r="H4" s="141"/>
      <x:c r="I4" s="160"/>
      <x:c r="J4" s="160"/>
      <x:c r="K4" s="160"/>
      <x:c r="L4" s="160"/>
      <x:c r="M4" s="160"/>
      <x:c r="N4" s="160"/>
      <x:c r="O4" s="160"/>
      <x:c r="P4" s="160"/>
      <x:c r="Q4" s="160"/>
      <x:c r="R4" s="160"/>
      <x:c r="S4" s="160"/>
      <x:c r="T4" s="160"/>
      <x:c r="U4" s="160"/>
      <x:c r="V4" s="160"/>
      <x:c r="W4" s="160"/>
      <x:c r="X4" s="160"/>
      <x:c r="Y4" s="160"/>
      <x:c r="Z4" s="160"/>
    </x:row>
    <x:row r="5" ht="44.650001525878906" customHeight="1">
      <x:c r="A5" s="168" t="s">
        <x:v>809</x:v>
      </x:c>
      <x:c r="B5" s="295"/>
      <x:c r="C5" s="295"/>
      <x:c r="D5" s="295"/>
      <x:c r="E5" s="295"/>
      <x:c r="F5" s="295"/>
      <x:c r="G5" s="295"/>
      <x:c r="H5" s="295"/>
      <x:c r="I5" s="160"/>
      <x:c r="J5" s="160"/>
      <x:c r="K5" s="160"/>
      <x:c r="L5" s="160"/>
      <x:c r="M5" s="160"/>
      <x:c r="N5" s="160"/>
      <x:c r="O5" s="160"/>
      <x:c r="P5" s="160"/>
      <x:c r="Q5" s="160"/>
      <x:c r="R5" s="160"/>
      <x:c r="S5" s="160"/>
      <x:c r="T5" s="160"/>
      <x:c r="U5" s="160"/>
      <x:c r="V5" s="160"/>
      <x:c r="W5" s="160"/>
      <x:c r="X5" s="160"/>
      <x:c r="Y5" s="160"/>
      <x:c r="Z5" s="160"/>
    </x:row>
    <x:row r="6" ht="18" customHeight="1">
      <x:c r="A6" s="447" t="s">
        <x:v>810</x:v>
      </x:c>
      <x:c r="B6" s="141"/>
      <x:c r="C6" s="141"/>
      <x:c r="D6" s="141"/>
      <x:c r="E6" s="141"/>
      <x:c r="F6" s="141"/>
      <x:c r="G6" s="141"/>
      <x:c r="H6" s="141"/>
      <x:c r="I6" s="160"/>
      <x:c r="J6" s="160"/>
      <x:c r="K6" s="160"/>
      <x:c r="L6" s="160"/>
      <x:c r="M6" s="160"/>
      <x:c r="N6" s="160"/>
      <x:c r="O6" s="160"/>
      <x:c r="P6" s="160"/>
      <x:c r="Q6" s="160"/>
      <x:c r="R6" s="160"/>
      <x:c r="S6" s="160"/>
      <x:c r="T6" s="160"/>
      <x:c r="U6" s="160"/>
      <x:c r="V6" s="160"/>
      <x:c r="W6" s="160"/>
      <x:c r="X6" s="160"/>
      <x:c r="Y6" s="160"/>
      <x:c r="Z6" s="160"/>
    </x:row>
    <x:row r="7" ht="21.950000762939453" customHeight="1">
      <x:c r="A7" s="161" t="s">
        <x:v>811</x:v>
      </x:c>
      <x:c r="B7" s="161" t="s">
        <x:v>812</x:v>
      </x:c>
      <x:c r="C7" s="161" t="s">
        <x:v>813</x:v>
      </x:c>
      <x:c r="D7" s="161" t="s">
        <x:v>814</x:v>
      </x:c>
      <x:c r="E7" s="161" t="s">
        <x:v>815</x:v>
      </x:c>
      <x:c r="F7" s="161" t="s">
        <x:v>816</x:v>
      </x:c>
      <x:c r="G7" s="161" t="s">
        <x:v>817</x:v>
      </x:c>
      <x:c r="H7" s="161" t="s">
        <x:v>434</x:v>
      </x:c>
      <x:c r="I7" s="160"/>
      <x:c r="J7" s="160"/>
      <x:c r="K7" s="160"/>
      <x:c r="L7" s="160"/>
      <x:c r="M7" s="160"/>
      <x:c r="N7" s="160"/>
      <x:c r="O7" s="160"/>
      <x:c r="P7" s="160"/>
      <x:c r="Q7" s="160"/>
      <x:c r="R7" s="160"/>
      <x:c r="S7" s="160"/>
      <x:c r="T7" s="160"/>
      <x:c r="U7" s="160"/>
      <x:c r="V7" s="160"/>
      <x:c r="W7" s="160"/>
      <x:c r="X7" s="160"/>
      <x:c r="Y7" s="160"/>
      <x:c r="Z7" s="160"/>
    </x:row>
    <x:row r="8" ht="31.899999618530273" customHeight="1">
      <x:c r="A8" s="174" t="s">
        <x:v>818</x:v>
      </x:c>
      <x:c r="B8" s="174" t="s">
        <x:v>2</x:v>
      </x:c>
      <x:c r="C8" s="175" t="s">
        <x:v>819</x:v>
      </x:c>
      <x:c r="D8" s="175" t="s">
        <x:v>820</x:v>
      </x:c>
      <x:c r="E8" s="175" t="s">
        <x:v>821</x:v>
      </x:c>
      <x:c r="F8" s="175" t="s">
        <x:v>822</x:v>
      </x:c>
      <x:c r="G8" s="175" t="s">
        <x:v>823</x:v>
      </x:c>
      <x:c r="H8" s="175" t="s">
        <x:v>824</x:v>
      </x:c>
      <x:c r="I8" s="160"/>
      <x:c r="J8" s="160"/>
      <x:c r="K8" s="160"/>
      <x:c r="L8" s="160"/>
      <x:c r="M8" s="160"/>
      <x:c r="N8" s="160"/>
      <x:c r="O8" s="160"/>
      <x:c r="P8" s="160"/>
      <x:c r="Q8" s="160"/>
      <x:c r="R8" s="160"/>
      <x:c r="S8" s="160"/>
      <x:c r="T8" s="160"/>
      <x:c r="U8" s="160"/>
      <x:c r="V8" s="160"/>
      <x:c r="W8" s="160"/>
      <x:c r="X8" s="160"/>
      <x:c r="Y8" s="160"/>
      <x:c r="Z8" s="160"/>
    </x:row>
    <x:row r="9" ht="31.899999618530273" customHeight="1">
      <x:c r="A9" s="174" t="s">
        <x:v>818</x:v>
      </x:c>
      <x:c r="B9" s="174" t="s">
        <x:v>3</x:v>
      </x:c>
      <x:c r="C9" s="175" t="s">
        <x:v>825</x:v>
      </x:c>
      <x:c r="D9" s="175" t="s">
        <x:v>823</x:v>
      </x:c>
      <x:c r="E9" s="175" t="s">
        <x:v>826</x:v>
      </x:c>
      <x:c r="F9" s="175" t="s">
        <x:v>827</x:v>
      </x:c>
      <x:c r="G9" s="175" t="s">
        <x:v>823</x:v>
      </x:c>
      <x:c r="H9" s="175" t="s">
        <x:v>828</x:v>
      </x:c>
      <x:c r="I9" s="160"/>
      <x:c r="J9" s="160"/>
      <x:c r="K9" s="160"/>
      <x:c r="L9" s="160"/>
      <x:c r="M9" s="160"/>
      <x:c r="N9" s="160"/>
      <x:c r="O9" s="160"/>
      <x:c r="P9" s="160"/>
      <x:c r="Q9" s="160"/>
      <x:c r="R9" s="160"/>
      <x:c r="S9" s="160"/>
      <x:c r="T9" s="160"/>
      <x:c r="U9" s="160"/>
      <x:c r="V9" s="160"/>
      <x:c r="W9" s="160"/>
      <x:c r="X9" s="160"/>
      <x:c r="Y9" s="160"/>
      <x:c r="Z9" s="160"/>
    </x:row>
    <x:row r="10" ht="21.950000762939453" customHeight="1">
      <x:c r="A10" s="174" t="s">
        <x:v>818</x:v>
      </x:c>
      <x:c r="B10" s="174" t="s">
        <x:v>4</x:v>
      </x:c>
      <x:c r="C10" s="175" t="s">
        <x:v>825</x:v>
      </x:c>
      <x:c r="D10" s="175" t="s">
        <x:v>823</x:v>
      </x:c>
      <x:c r="E10" s="175" t="s">
        <x:v>826</x:v>
      </x:c>
      <x:c r="F10" s="175" t="s">
        <x:v>827</x:v>
      </x:c>
      <x:c r="G10" s="175" t="s">
        <x:v>823</x:v>
      </x:c>
      <x:c r="H10" s="175" t="s">
        <x:v>829</x:v>
      </x:c>
      <x:c r="I10" s="160"/>
      <x:c r="J10" s="160"/>
      <x:c r="K10" s="160"/>
      <x:c r="L10" s="160"/>
      <x:c r="M10" s="160"/>
      <x:c r="N10" s="160"/>
      <x:c r="O10" s="160"/>
      <x:c r="P10" s="160"/>
      <x:c r="Q10" s="160"/>
      <x:c r="R10" s="160"/>
      <x:c r="S10" s="160"/>
      <x:c r="T10" s="160"/>
      <x:c r="U10" s="160"/>
      <x:c r="V10" s="160"/>
      <x:c r="W10" s="160"/>
      <x:c r="X10" s="160"/>
      <x:c r="Y10" s="160"/>
      <x:c r="Z10" s="160"/>
    </x:row>
    <x:row r="11" ht="44.650001525878906" customHeight="1">
      <x:c r="A11" s="174" t="s">
        <x:v>818</x:v>
      </x:c>
      <x:c r="B11" s="174" t="s">
        <x:v>5</x:v>
      </x:c>
      <x:c r="C11" s="175" t="s">
        <x:v>830</x:v>
      </x:c>
      <x:c r="D11" s="175" t="s">
        <x:v>823</x:v>
      </x:c>
      <x:c r="E11" s="175" t="s">
        <x:v>826</x:v>
      </x:c>
      <x:c r="F11" s="175" t="s">
        <x:v>831</x:v>
      </x:c>
      <x:c r="G11" s="175" t="s">
        <x:v>823</x:v>
      </x:c>
      <x:c r="H11" s="175" t="s">
        <x:v>832</x:v>
      </x:c>
      <x:c r="I11" s="160"/>
      <x:c r="J11" s="160"/>
      <x:c r="K11" s="160"/>
      <x:c r="L11" s="160"/>
      <x:c r="M11" s="160"/>
      <x:c r="N11" s="160"/>
      <x:c r="O11" s="160"/>
      <x:c r="P11" s="160"/>
      <x:c r="Q11" s="160"/>
      <x:c r="R11" s="160"/>
      <x:c r="S11" s="160"/>
      <x:c r="T11" s="160"/>
      <x:c r="U11" s="160"/>
      <x:c r="V11" s="160"/>
      <x:c r="W11" s="160"/>
      <x:c r="X11" s="160"/>
      <x:c r="Y11" s="160"/>
      <x:c r="Z11" s="160"/>
    </x:row>
    <x:row r="12" ht="31.899999618530273" customHeight="1">
      <x:c r="A12" s="174" t="s">
        <x:v>818</x:v>
      </x:c>
      <x:c r="B12" s="174" t="s">
        <x:v>6</x:v>
      </x:c>
      <x:c r="C12" s="175" t="s">
        <x:v>830</x:v>
      </x:c>
      <x:c r="D12" s="175" t="s">
        <x:v>823</x:v>
      </x:c>
      <x:c r="E12" s="175" t="s">
        <x:v>826</x:v>
      </x:c>
      <x:c r="F12" s="175" t="s">
        <x:v>831</x:v>
      </x:c>
      <x:c r="G12" s="175" t="s">
        <x:v>823</x:v>
      </x:c>
      <x:c r="H12" s="175" t="s">
        <x:v>833</x:v>
      </x:c>
      <x:c r="I12" s="160"/>
      <x:c r="J12" s="160"/>
      <x:c r="K12" s="160"/>
      <x:c r="L12" s="160"/>
      <x:c r="M12" s="160"/>
      <x:c r="N12" s="160"/>
      <x:c r="O12" s="160"/>
      <x:c r="P12" s="160"/>
      <x:c r="Q12" s="160"/>
      <x:c r="R12" s="160"/>
      <x:c r="S12" s="160"/>
      <x:c r="T12" s="160"/>
      <x:c r="U12" s="160"/>
      <x:c r="V12" s="160"/>
      <x:c r="W12" s="160"/>
      <x:c r="X12" s="160"/>
      <x:c r="Y12" s="160"/>
      <x:c r="Z12" s="160"/>
    </x:row>
    <x:row r="13" ht="44.650001525878906" customHeight="1">
      <x:c r="A13" s="174" t="s">
        <x:v>818</x:v>
      </x:c>
      <x:c r="B13" s="174" t="s">
        <x:v>7</x:v>
      </x:c>
      <x:c r="C13" s="175" t="s">
        <x:v>825</x:v>
      </x:c>
      <x:c r="D13" s="175" t="s">
        <x:v>823</x:v>
      </x:c>
      <x:c r="E13" s="175" t="s">
        <x:v>834</x:v>
      </x:c>
      <x:c r="F13" s="175" t="s">
        <x:v>835</x:v>
      </x:c>
      <x:c r="G13" s="175" t="s">
        <x:v>836</x:v>
      </x:c>
      <x:c r="H13" s="175" t="s">
        <x:v>837</x:v>
      </x:c>
      <x:c r="I13" s="160"/>
      <x:c r="J13" s="160"/>
      <x:c r="K13" s="160"/>
      <x:c r="L13" s="160"/>
      <x:c r="M13" s="160"/>
      <x:c r="N13" s="160"/>
      <x:c r="O13" s="160"/>
      <x:c r="P13" s="160"/>
      <x:c r="Q13" s="160"/>
      <x:c r="R13" s="160"/>
      <x:c r="S13" s="160"/>
      <x:c r="T13" s="160"/>
      <x:c r="U13" s="160"/>
      <x:c r="V13" s="160"/>
      <x:c r="W13" s="160"/>
      <x:c r="X13" s="160"/>
      <x:c r="Y13" s="160"/>
      <x:c r="Z13" s="160"/>
    </x:row>
    <x:row r="14" ht="31.899999618530273" customHeight="1">
      <x:c r="A14" s="174" t="s">
        <x:v>818</x:v>
      </x:c>
      <x:c r="B14" s="174" t="s">
        <x:v>8</x:v>
      </x:c>
      <x:c r="C14" s="175" t="s">
        <x:v>830</x:v>
      </x:c>
      <x:c r="D14" s="175" t="s">
        <x:v>823</x:v>
      </x:c>
      <x:c r="E14" s="175" t="s">
        <x:v>826</x:v>
      </x:c>
      <x:c r="F14" s="175" t="s">
        <x:v>831</x:v>
      </x:c>
      <x:c r="G14" s="175" t="s">
        <x:v>823</x:v>
      </x:c>
      <x:c r="H14" s="175" t="s">
        <x:v>838</x:v>
      </x:c>
      <x:c r="I14" s="160"/>
      <x:c r="J14" s="160"/>
      <x:c r="K14" s="160"/>
      <x:c r="L14" s="160"/>
      <x:c r="M14" s="160"/>
      <x:c r="N14" s="160"/>
      <x:c r="O14" s="160"/>
      <x:c r="P14" s="160"/>
      <x:c r="Q14" s="160"/>
      <x:c r="R14" s="160"/>
      <x:c r="S14" s="160"/>
      <x:c r="T14" s="160"/>
      <x:c r="U14" s="160"/>
      <x:c r="V14" s="160"/>
      <x:c r="W14" s="160"/>
      <x:c r="X14" s="160"/>
      <x:c r="Y14" s="160"/>
      <x:c r="Z14" s="160"/>
    </x:row>
    <x:row r="15" ht="31.899999618530273" customHeight="1">
      <x:c r="A15" s="174" t="s">
        <x:v>818</x:v>
      </x:c>
      <x:c r="B15" s="174" t="s">
        <x:v>9</x:v>
      </x:c>
      <x:c r="C15" s="175" t="s">
        <x:v>839</x:v>
      </x:c>
      <x:c r="D15" s="175" t="s">
        <x:v>823</x:v>
      </x:c>
      <x:c r="E15" s="175" t="s">
        <x:v>834</x:v>
      </x:c>
      <x:c r="F15" s="175" t="s">
        <x:v>840</x:v>
      </x:c>
      <x:c r="G15" s="175" t="s">
        <x:v>841</x:v>
      </x:c>
      <x:c r="H15" s="175" t="s">
        <x:v>842</x:v>
      </x:c>
      <x:c r="I15" s="160"/>
      <x:c r="J15" s="160"/>
      <x:c r="K15" s="160"/>
      <x:c r="L15" s="160"/>
      <x:c r="M15" s="160"/>
      <x:c r="N15" s="160"/>
      <x:c r="O15" s="160"/>
      <x:c r="P15" s="160"/>
      <x:c r="Q15" s="160"/>
      <x:c r="R15" s="160"/>
      <x:c r="S15" s="160"/>
      <x:c r="T15" s="160"/>
      <x:c r="U15" s="160"/>
      <x:c r="V15" s="160"/>
      <x:c r="W15" s="160"/>
      <x:c r="X15" s="160"/>
      <x:c r="Y15" s="160"/>
      <x:c r="Z15" s="160"/>
    </x:row>
    <x:row r="16" ht="31.899999618530273" customHeight="1">
      <x:c r="A16" s="174" t="s">
        <x:v>818</x:v>
      </x:c>
      <x:c r="B16" s="174" t="s">
        <x:v>843</x:v>
      </x:c>
      <x:c r="C16" s="175" t="s">
        <x:v>844</x:v>
      </x:c>
      <x:c r="D16" s="175" t="s">
        <x:v>823</x:v>
      </x:c>
      <x:c r="E16" s="175" t="s">
        <x:v>826</x:v>
      </x:c>
      <x:c r="F16" s="175" t="s">
        <x:v>845</x:v>
      </x:c>
      <x:c r="G16" s="175" t="s">
        <x:v>823</x:v>
      </x:c>
      <x:c r="H16" s="175" t="s">
        <x:v>846</x:v>
      </x:c>
      <x:c r="I16" s="160"/>
      <x:c r="J16" s="160"/>
      <x:c r="K16" s="160"/>
      <x:c r="L16" s="160"/>
      <x:c r="M16" s="160"/>
      <x:c r="N16" s="160"/>
      <x:c r="O16" s="160"/>
      <x:c r="P16" s="160"/>
      <x:c r="Q16" s="160"/>
      <x:c r="R16" s="160"/>
      <x:c r="S16" s="160"/>
      <x:c r="T16" s="160"/>
      <x:c r="U16" s="160"/>
      <x:c r="V16" s="160"/>
      <x:c r="W16" s="160"/>
      <x:c r="X16" s="160"/>
      <x:c r="Y16" s="160"/>
      <x:c r="Z16" s="160"/>
    </x:row>
    <x:row r="17" ht="31.899999618530273" customHeight="1">
      <x:c r="A17" s="174" t="s">
        <x:v>818</x:v>
      </x:c>
      <x:c r="B17" s="174" t="s">
        <x:v>847</x:v>
      </x:c>
      <x:c r="C17" s="175" t="s">
        <x:v>844</x:v>
      </x:c>
      <x:c r="D17" s="175" t="s">
        <x:v>823</x:v>
      </x:c>
      <x:c r="E17" s="175" t="s">
        <x:v>826</x:v>
      </x:c>
      <x:c r="F17" s="175" t="s">
        <x:v>845</x:v>
      </x:c>
      <x:c r="G17" s="175" t="s">
        <x:v>823</x:v>
      </x:c>
      <x:c r="H17" s="175" t="s">
        <x:v>848</x:v>
      </x:c>
      <x:c r="I17" s="160"/>
      <x:c r="J17" s="160"/>
      <x:c r="K17" s="160"/>
      <x:c r="L17" s="160"/>
      <x:c r="M17" s="160"/>
      <x:c r="N17" s="160"/>
      <x:c r="O17" s="160"/>
      <x:c r="P17" s="160"/>
      <x:c r="Q17" s="160"/>
      <x:c r="R17" s="160"/>
      <x:c r="S17" s="160"/>
      <x:c r="T17" s="160"/>
      <x:c r="U17" s="160"/>
      <x:c r="V17" s="160"/>
      <x:c r="W17" s="160"/>
      <x:c r="X17" s="160"/>
      <x:c r="Y17" s="160"/>
      <x:c r="Z17" s="160"/>
    </x:row>
    <x:row r="18" ht="31.899999618530273" customHeight="1">
      <x:c r="A18" s="174" t="s">
        <x:v>818</x:v>
      </x:c>
      <x:c r="B18" s="174" t="s">
        <x:v>849</x:v>
      </x:c>
      <x:c r="C18" s="175" t="s">
        <x:v>844</x:v>
      </x:c>
      <x:c r="D18" s="175" t="s">
        <x:v>823</x:v>
      </x:c>
      <x:c r="E18" s="175" t="s">
        <x:v>826</x:v>
      </x:c>
      <x:c r="F18" s="175" t="s">
        <x:v>845</x:v>
      </x:c>
      <x:c r="G18" s="175" t="s">
        <x:v>823</x:v>
      </x:c>
      <x:c r="H18" s="175" t="s">
        <x:v>850</x:v>
      </x:c>
      <x:c r="I18" s="160"/>
      <x:c r="J18" s="160"/>
      <x:c r="K18" s="160"/>
      <x:c r="L18" s="160"/>
      <x:c r="M18" s="160"/>
      <x:c r="N18" s="160"/>
      <x:c r="O18" s="160"/>
      <x:c r="P18" s="160"/>
      <x:c r="Q18" s="160"/>
      <x:c r="R18" s="160"/>
      <x:c r="S18" s="160"/>
      <x:c r="T18" s="160"/>
      <x:c r="U18" s="160"/>
      <x:c r="V18" s="160"/>
      <x:c r="W18" s="160"/>
      <x:c r="X18" s="160"/>
      <x:c r="Y18" s="160"/>
      <x:c r="Z18" s="160"/>
    </x:row>
    <x:row r="19" ht="31.899999618530273" customHeight="1">
      <x:c r="A19" s="174" t="s">
        <x:v>818</x:v>
      </x:c>
      <x:c r="B19" s="174" t="s">
        <x:v>13</x:v>
      </x:c>
      <x:c r="C19" s="175" t="s">
        <x:v>851</x:v>
      </x:c>
      <x:c r="D19" s="175" t="s">
        <x:v>823</x:v>
      </x:c>
      <x:c r="E19" s="175" t="s">
        <x:v>826</x:v>
      </x:c>
      <x:c r="F19" s="175" t="s">
        <x:v>827</x:v>
      </x:c>
      <x:c r="G19" s="175" t="s">
        <x:v>823</x:v>
      </x:c>
      <x:c r="H19" s="175" t="s">
        <x:v>852</x:v>
      </x:c>
      <x:c r="I19" s="160"/>
      <x:c r="J19" s="160"/>
      <x:c r="K19" s="160"/>
      <x:c r="L19" s="160"/>
      <x:c r="M19" s="160"/>
      <x:c r="N19" s="160"/>
      <x:c r="O19" s="160"/>
      <x:c r="P19" s="160"/>
      <x:c r="Q19" s="160"/>
      <x:c r="R19" s="160"/>
      <x:c r="S19" s="160"/>
      <x:c r="T19" s="160"/>
      <x:c r="U19" s="160"/>
      <x:c r="V19" s="160"/>
      <x:c r="W19" s="160"/>
      <x:c r="X19" s="160"/>
      <x:c r="Y19" s="160"/>
      <x:c r="Z19" s="160"/>
    </x:row>
    <x:row r="20" ht="31.899999618530273" customHeight="1">
      <x:c r="A20" s="174" t="s">
        <x:v>818</x:v>
      </x:c>
      <x:c r="B20" s="174" t="s">
        <x:v>14</x:v>
      </x:c>
      <x:c r="C20" s="175" t="s">
        <x:v>825</x:v>
      </x:c>
      <x:c r="D20" s="175" t="s">
        <x:v>823</x:v>
      </x:c>
      <x:c r="E20" s="175" t="s">
        <x:v>834</x:v>
      </x:c>
      <x:c r="F20" s="175" t="s">
        <x:v>853</x:v>
      </x:c>
      <x:c r="G20" s="175" t="s">
        <x:v>854</x:v>
      </x:c>
      <x:c r="H20" s="175" t="s">
        <x:v>855</x:v>
      </x:c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0"/>
      <x:c r="V20" s="160"/>
      <x:c r="W20" s="160"/>
      <x:c r="X20" s="160"/>
      <x:c r="Y20" s="160"/>
      <x:c r="Z20" s="160"/>
    </x:row>
    <x:row r="21">
      <x:c r="A21" s="436"/>
      <x:c r="B21" s="295"/>
      <x:c r="C21" s="295"/>
      <x:c r="D21" s="295"/>
      <x:c r="E21" s="295"/>
      <x:c r="F21" s="295"/>
      <x:c r="G21" s="295"/>
      <x:c r="H21" s="437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0"/>
      <x:c r="V21" s="160"/>
      <x:c r="W21" s="160"/>
      <x:c r="X21" s="160"/>
      <x:c r="Y21" s="160"/>
      <x:c r="Z21" s="160"/>
    </x:row>
    <x:row r="22" ht="18" customHeight="1">
      <x:c r="A22" s="457" t="s">
        <x:v>856</x:v>
      </x:c>
      <x:c r="B22" s="141"/>
      <x:c r="C22" s="141"/>
      <x:c r="D22" s="141"/>
      <x:c r="E22" s="141"/>
      <x:c r="F22" s="141"/>
      <x:c r="G22" s="141"/>
      <x:c r="H22" s="439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0"/>
      <x:c r="V22" s="160"/>
      <x:c r="W22" s="160"/>
      <x:c r="X22" s="160"/>
      <x:c r="Y22" s="160"/>
      <x:c r="Z22" s="160"/>
    </x:row>
    <x:row r="23" ht="21.950000762939453" customHeight="1">
      <x:c r="A23" s="161" t="s">
        <x:v>811</x:v>
      </x:c>
      <x:c r="B23" s="161" t="s">
        <x:v>812</x:v>
      </x:c>
      <x:c r="C23" s="161" t="s">
        <x:v>813</x:v>
      </x:c>
      <x:c r="D23" s="161" t="s">
        <x:v>814</x:v>
      </x:c>
      <x:c r="E23" s="161" t="s">
        <x:v>815</x:v>
      </x:c>
      <x:c r="F23" s="161" t="s">
        <x:v>816</x:v>
      </x:c>
      <x:c r="G23" s="161" t="s">
        <x:v>817</x:v>
      </x:c>
      <x:c r="H23" s="161" t="s">
        <x:v>434</x:v>
      </x:c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0"/>
      <x:c r="V23" s="160"/>
      <x:c r="W23" s="160"/>
      <x:c r="X23" s="160"/>
      <x:c r="Y23" s="160"/>
      <x:c r="Z23" s="160"/>
    </x:row>
    <x:row r="24" ht="44.650001525878906" customHeight="1">
      <x:c r="A24" s="174" t="s">
        <x:v>857</x:v>
      </x:c>
      <x:c r="B24" s="174" t="s">
        <x:v>33</x:v>
      </x:c>
      <x:c r="C24" s="175" t="s">
        <x:v>858</x:v>
      </x:c>
      <x:c r="D24" s="175" t="s">
        <x:v>820</x:v>
      </x:c>
      <x:c r="E24" s="175" t="s">
        <x:v>821</x:v>
      </x:c>
      <x:c r="F24" s="175" t="s">
        <x:v>859</x:v>
      </x:c>
      <x:c r="G24" s="175" t="s">
        <x:v>823</x:v>
      </x:c>
      <x:c r="H24" s="175" t="s">
        <x:v>860</x:v>
      </x:c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0"/>
      <x:c r="V24" s="160"/>
      <x:c r="W24" s="160"/>
      <x:c r="X24" s="160"/>
      <x:c r="Y24" s="160"/>
      <x:c r="Z24" s="160"/>
    </x:row>
    <x:row r="25" ht="83.44999694824219" customHeight="1">
      <x:c r="A25" s="174" t="s">
        <x:v>857</x:v>
      </x:c>
      <x:c r="B25" s="174" t="s">
        <x:v>34</x:v>
      </x:c>
      <x:c r="C25" s="175" t="s">
        <x:v>825</x:v>
      </x:c>
      <x:c r="D25" s="175" t="s">
        <x:v>823</x:v>
      </x:c>
      <x:c r="E25" s="175" t="s">
        <x:v>821</x:v>
      </x:c>
      <x:c r="F25" s="175" t="s">
        <x:v>861</x:v>
      </x:c>
      <x:c r="G25" s="175" t="s">
        <x:v>823</x:v>
      </x:c>
      <x:c r="H25" s="175" t="s">
        <x:v>862</x:v>
      </x:c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0"/>
      <x:c r="V25" s="160"/>
      <x:c r="W25" s="160"/>
      <x:c r="X25" s="160"/>
      <x:c r="Y25" s="160"/>
      <x:c r="Z25" s="160"/>
    </x:row>
    <x:row r="26" ht="31.899999618530273" customHeight="1">
      <x:c r="A26" s="174" t="s">
        <x:v>857</x:v>
      </x:c>
      <x:c r="B26" s="174" t="s">
        <x:v>35</x:v>
      </x:c>
      <x:c r="C26" s="175" t="s">
        <x:v>825</x:v>
      </x:c>
      <x:c r="D26" s="175" t="s">
        <x:v>823</x:v>
      </x:c>
      <x:c r="E26" s="175" t="s">
        <x:v>821</x:v>
      </x:c>
      <x:c r="F26" s="175" t="s">
        <x:v>827</x:v>
      </x:c>
      <x:c r="G26" s="175" t="s">
        <x:v>823</x:v>
      </x:c>
      <x:c r="H26" s="175" t="s">
        <x:v>863</x:v>
      </x:c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0"/>
      <x:c r="V26" s="160"/>
      <x:c r="W26" s="160"/>
      <x:c r="X26" s="160"/>
      <x:c r="Y26" s="160"/>
      <x:c r="Z26" s="160"/>
    </x:row>
    <x:row r="27" ht="44.650001525878906" customHeight="1">
      <x:c r="A27" s="174" t="s">
        <x:v>857</x:v>
      </x:c>
      <x:c r="B27" s="174" t="s">
        <x:v>864</x:v>
      </x:c>
      <x:c r="C27" s="175" t="s">
        <x:v>825</x:v>
      </x:c>
      <x:c r="D27" s="175" t="s">
        <x:v>823</x:v>
      </x:c>
      <x:c r="E27" s="175" t="s">
        <x:v>821</x:v>
      </x:c>
      <x:c r="F27" s="175" t="s">
        <x:v>865</x:v>
      </x:c>
      <x:c r="G27" s="175" t="s">
        <x:v>823</x:v>
      </x:c>
      <x:c r="H27" s="175" t="s">
        <x:v>866</x:v>
      </x:c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0"/>
      <x:c r="V27" s="160"/>
      <x:c r="W27" s="160"/>
      <x:c r="X27" s="160"/>
      <x:c r="Y27" s="160"/>
      <x:c r="Z27" s="160"/>
    </x:row>
    <x:row r="28" ht="44.650001525878906" customHeight="1">
      <x:c r="A28" s="174" t="s">
        <x:v>857</x:v>
      </x:c>
      <x:c r="B28" s="174" t="s">
        <x:v>867</x:v>
      </x:c>
      <x:c r="C28" s="175" t="s">
        <x:v>851</x:v>
      </x:c>
      <x:c r="D28" s="175" t="s">
        <x:v>823</x:v>
      </x:c>
      <x:c r="E28" s="175" t="s">
        <x:v>821</x:v>
      </x:c>
      <x:c r="F28" s="175" t="s">
        <x:v>827</x:v>
      </x:c>
      <x:c r="G28" s="175" t="s">
        <x:v>823</x:v>
      </x:c>
      <x:c r="H28" s="175" t="s">
        <x:v>868</x:v>
      </x:c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0"/>
      <x:c r="V28" s="160"/>
      <x:c r="W28" s="160"/>
      <x:c r="X28" s="160"/>
      <x:c r="Y28" s="160"/>
      <x:c r="Z28" s="160"/>
    </x:row>
    <x:row r="29" ht="31.899999618530273" customHeight="1">
      <x:c r="A29" s="174" t="s">
        <x:v>857</x:v>
      </x:c>
      <x:c r="B29" s="174" t="s">
        <x:v>38</x:v>
      </x:c>
      <x:c r="C29" s="175" t="s">
        <x:v>825</x:v>
      </x:c>
      <x:c r="D29" s="175" t="s">
        <x:v>823</x:v>
      </x:c>
      <x:c r="E29" s="175" t="s">
        <x:v>821</x:v>
      </x:c>
      <x:c r="F29" s="175" t="s">
        <x:v>869</x:v>
      </x:c>
      <x:c r="G29" s="175" t="s">
        <x:v>823</x:v>
      </x:c>
      <x:c r="H29" s="175" t="s">
        <x:v>870</x:v>
      </x:c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0"/>
      <x:c r="V29" s="160"/>
      <x:c r="W29" s="160"/>
      <x:c r="X29" s="160"/>
      <x:c r="Y29" s="160"/>
      <x:c r="Z29" s="160"/>
    </x:row>
    <x:row r="30" ht="44.650001525878906" customHeight="1">
      <x:c r="A30" s="174" t="s">
        <x:v>857</x:v>
      </x:c>
      <x:c r="B30" s="174" t="s">
        <x:v>871</x:v>
      </x:c>
      <x:c r="C30" s="175" t="s">
        <x:v>825</x:v>
      </x:c>
      <x:c r="D30" s="175" t="s">
        <x:v>823</x:v>
      </x:c>
      <x:c r="E30" s="175" t="s">
        <x:v>821</x:v>
      </x:c>
      <x:c r="F30" s="175" t="s">
        <x:v>827</x:v>
      </x:c>
      <x:c r="G30" s="175" t="s">
        <x:v>823</x:v>
      </x:c>
      <x:c r="H30" s="175" t="s">
        <x:v>872</x:v>
      </x:c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0"/>
      <x:c r="V30" s="160"/>
      <x:c r="W30" s="160"/>
      <x:c r="X30" s="160"/>
      <x:c r="Y30" s="160"/>
      <x:c r="Z30" s="160"/>
    </x:row>
    <x:row r="31" ht="44.650001525878906" customHeight="1">
      <x:c r="A31" s="174" t="s">
        <x:v>857</x:v>
      </x:c>
      <x:c r="B31" s="174" t="s">
        <x:v>40</x:v>
      </x:c>
      <x:c r="C31" s="175" t="s">
        <x:v>873</x:v>
      </x:c>
      <x:c r="D31" s="175" t="s">
        <x:v>823</x:v>
      </x:c>
      <x:c r="E31" s="175" t="s">
        <x:v>821</x:v>
      </x:c>
      <x:c r="F31" s="175" t="s">
        <x:v>874</x:v>
      </x:c>
      <x:c r="G31" s="175" t="s">
        <x:v>823</x:v>
      </x:c>
      <x:c r="H31" s="175" t="s">
        <x:v>875</x:v>
      </x:c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0"/>
      <x:c r="V31" s="160"/>
      <x:c r="W31" s="160"/>
      <x:c r="X31" s="160"/>
      <x:c r="Y31" s="160"/>
      <x:c r="Z31" s="160"/>
    </x:row>
    <x:row r="32" ht="31.899999618530273" customHeight="1">
      <x:c r="A32" s="174" t="s">
        <x:v>857</x:v>
      </x:c>
      <x:c r="B32" s="174" t="s">
        <x:v>41</x:v>
      </x:c>
      <x:c r="C32" s="175" t="s">
        <x:v>851</x:v>
      </x:c>
      <x:c r="D32" s="175" t="s">
        <x:v>823</x:v>
      </x:c>
      <x:c r="E32" s="175" t="s">
        <x:v>821</x:v>
      </x:c>
      <x:c r="F32" s="175" t="s">
        <x:v>827</x:v>
      </x:c>
      <x:c r="G32" s="175" t="s">
        <x:v>823</x:v>
      </x:c>
      <x:c r="H32" s="175" t="s">
        <x:v>876</x:v>
      </x:c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0"/>
      <x:c r="V32" s="160"/>
      <x:c r="W32" s="160"/>
      <x:c r="X32" s="160"/>
      <x:c r="Y32" s="160"/>
      <x:c r="Z32" s="160"/>
    </x:row>
    <x:row r="33">
      <x:c r="A33" s="458"/>
      <x:c r="B33" s="141"/>
      <x:c r="C33" s="141"/>
      <x:c r="D33" s="141"/>
      <x:c r="E33" s="141"/>
      <x:c r="F33" s="141"/>
      <x:c r="G33" s="141"/>
      <x:c r="H33" s="439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0"/>
      <x:c r="V33" s="160"/>
      <x:c r="W33" s="160"/>
      <x:c r="X33" s="160"/>
      <x:c r="Y33" s="160"/>
      <x:c r="Z33" s="160"/>
    </x:row>
    <x:row r="34" ht="18" customHeight="1">
      <x:c r="A34" s="459" t="s">
        <x:v>877</x:v>
      </x:c>
      <x:c r="B34" s="295"/>
      <x:c r="C34" s="295"/>
      <x:c r="D34" s="295"/>
      <x:c r="E34" s="295"/>
      <x:c r="F34" s="295"/>
      <x:c r="G34" s="295"/>
      <x:c r="H34" s="437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0"/>
      <x:c r="V34" s="160"/>
      <x:c r="W34" s="160"/>
      <x:c r="X34" s="160"/>
      <x:c r="Y34" s="160"/>
      <x:c r="Z34" s="160"/>
    </x:row>
    <x:row r="35" ht="21.950000762939453" customHeight="1">
      <x:c r="A35" s="161" t="s">
        <x:v>811</x:v>
      </x:c>
      <x:c r="B35" s="161" t="s">
        <x:v>812</x:v>
      </x:c>
      <x:c r="C35" s="161" t="s">
        <x:v>813</x:v>
      </x:c>
      <x:c r="D35" s="161" t="s">
        <x:v>814</x:v>
      </x:c>
      <x:c r="E35" s="161" t="s">
        <x:v>815</x:v>
      </x:c>
      <x:c r="F35" s="161" t="s">
        <x:v>816</x:v>
      </x:c>
      <x:c r="G35" s="161" t="s">
        <x:v>817</x:v>
      </x:c>
      <x:c r="H35" s="161" t="s">
        <x:v>434</x:v>
      </x:c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0"/>
      <x:c r="V35" s="160"/>
      <x:c r="W35" s="160"/>
      <x:c r="X35" s="160"/>
      <x:c r="Y35" s="160"/>
      <x:c r="Z35" s="160"/>
    </x:row>
    <x:row r="36" ht="31.899999618530273" customHeight="1">
      <x:c r="A36" s="174" t="s">
        <x:v>878</x:v>
      </x:c>
      <x:c r="B36" s="174" t="s">
        <x:v>407</x:v>
      </x:c>
      <x:c r="C36" s="175" t="s">
        <x:v>879</x:v>
      </x:c>
      <x:c r="D36" s="175" t="s">
        <x:v>820</x:v>
      </x:c>
      <x:c r="E36" s="175" t="s">
        <x:v>834</x:v>
      </x:c>
      <x:c r="F36" s="175" t="s">
        <x:v>880</x:v>
      </x:c>
      <x:c r="G36" s="175" t="s">
        <x:v>881</x:v>
      </x:c>
      <x:c r="H36" s="175" t="s">
        <x:v>882</x:v>
      </x:c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0"/>
      <x:c r="V36" s="160"/>
      <x:c r="W36" s="160"/>
      <x:c r="X36" s="160"/>
      <x:c r="Y36" s="160"/>
      <x:c r="Z36" s="160"/>
    </x:row>
    <x:row r="37" ht="31.899999618530273" customHeight="1">
      <x:c r="A37" s="174" t="s">
        <x:v>878</x:v>
      </x:c>
      <x:c r="B37" s="174" t="s">
        <x:v>2</x:v>
      </x:c>
      <x:c r="C37" s="175" t="s">
        <x:v>819</x:v>
      </x:c>
      <x:c r="D37" s="175" t="s">
        <x:v>883</x:v>
      </x:c>
      <x:c r="E37" s="175" t="s">
        <x:v>826</x:v>
      </x:c>
      <x:c r="F37" s="175" t="s">
        <x:v>884</x:v>
      </x:c>
      <x:c r="G37" s="175" t="s">
        <x:v>823</x:v>
      </x:c>
      <x:c r="H37" s="175" t="s">
        <x:v>885</x:v>
      </x:c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0"/>
      <x:c r="V37" s="160"/>
      <x:c r="W37" s="160"/>
      <x:c r="X37" s="160"/>
      <x:c r="Y37" s="160"/>
      <x:c r="Z37" s="160"/>
    </x:row>
    <x:row r="38" ht="31.899999618530273" customHeight="1">
      <x:c r="A38" s="174" t="s">
        <x:v>878</x:v>
      </x:c>
      <x:c r="B38" s="174" t="s">
        <x:v>33</x:v>
      </x:c>
      <x:c r="C38" s="175" t="s">
        <x:v>858</x:v>
      </x:c>
      <x:c r="D38" s="175" t="s">
        <x:v>886</x:v>
      </x:c>
      <x:c r="E38" s="175" t="s">
        <x:v>826</x:v>
      </x:c>
      <x:c r="F38" s="175" t="s">
        <x:v>887</x:v>
      </x:c>
      <x:c r="G38" s="175" t="s">
        <x:v>823</x:v>
      </x:c>
      <x:c r="H38" s="175" t="s">
        <x:v>888</x:v>
      </x:c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0"/>
      <x:c r="V38" s="160"/>
      <x:c r="W38" s="160"/>
      <x:c r="X38" s="160"/>
      <x:c r="Y38" s="160"/>
      <x:c r="Z38" s="160"/>
    </x:row>
    <x:row r="39" ht="31.899999618530273" customHeight="1">
      <x:c r="A39" s="174" t="s">
        <x:v>878</x:v>
      </x:c>
      <x:c r="B39" s="174" t="s">
        <x:v>8</x:v>
      </x:c>
      <x:c r="C39" s="175" t="s">
        <x:v>830</x:v>
      </x:c>
      <x:c r="D39" s="175" t="s">
        <x:v>823</x:v>
      </x:c>
      <x:c r="E39" s="175" t="s">
        <x:v>834</x:v>
      </x:c>
      <x:c r="F39" s="175" t="s">
        <x:v>889</x:v>
      </x:c>
      <x:c r="G39" s="175" t="s">
        <x:v>890</x:v>
      </x:c>
      <x:c r="H39" s="175" t="s">
        <x:v>891</x:v>
      </x:c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</x:row>
    <x:row r="40" ht="31.899999618530273" customHeight="1">
      <x:c r="A40" s="174" t="s">
        <x:v>878</x:v>
      </x:c>
      <x:c r="B40" s="174" t="s">
        <x:v>591</x:v>
      </x:c>
      <x:c r="C40" s="175" t="s">
        <x:v>844</x:v>
      </x:c>
      <x:c r="D40" s="175" t="s">
        <x:v>823</x:v>
      </x:c>
      <x:c r="E40" s="175" t="s">
        <x:v>826</x:v>
      </x:c>
      <x:c r="F40" s="175" t="s">
        <x:v>845</x:v>
      </x:c>
      <x:c r="G40" s="175" t="s">
        <x:v>823</x:v>
      </x:c>
      <x:c r="H40" s="175" t="s">
        <x:v>892</x:v>
      </x:c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0"/>
      <x:c r="V40" s="160"/>
      <x:c r="W40" s="160"/>
      <x:c r="X40" s="160"/>
      <x:c r="Y40" s="160"/>
      <x:c r="Z40" s="160"/>
    </x:row>
    <x:row r="41" ht="31.899999618530273" customHeight="1">
      <x:c r="A41" s="174" t="s">
        <x:v>878</x:v>
      </x:c>
      <x:c r="B41" s="174" t="s">
        <x:v>409</x:v>
      </x:c>
      <x:c r="C41" s="175" t="s">
        <x:v>851</x:v>
      </x:c>
      <x:c r="D41" s="175" t="s">
        <x:v>823</x:v>
      </x:c>
      <x:c r="E41" s="175" t="s">
        <x:v>826</x:v>
      </x:c>
      <x:c r="F41" s="175" t="s">
        <x:v>827</x:v>
      </x:c>
      <x:c r="G41" s="175" t="s">
        <x:v>823</x:v>
      </x:c>
      <x:c r="H41" s="175" t="s">
        <x:v>893</x:v>
      </x:c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0"/>
      <x:c r="V41" s="160"/>
      <x:c r="W41" s="160"/>
      <x:c r="X41" s="160"/>
      <x:c r="Y41" s="160"/>
      <x:c r="Z41" s="160"/>
    </x:row>
    <x:row r="42" ht="31.899999618530273" customHeight="1">
      <x:c r="A42" s="174" t="s">
        <x:v>878</x:v>
      </x:c>
      <x:c r="B42" s="174" t="s">
        <x:v>894</x:v>
      </x:c>
      <x:c r="C42" s="175" t="s">
        <x:v>873</x:v>
      </x:c>
      <x:c r="D42" s="175" t="s">
        <x:v>823</x:v>
      </x:c>
      <x:c r="E42" s="175" t="s">
        <x:v>826</x:v>
      </x:c>
      <x:c r="F42" s="175" t="s">
        <x:v>895</x:v>
      </x:c>
      <x:c r="G42" s="175" t="s">
        <x:v>823</x:v>
      </x:c>
      <x:c r="H42" s="175" t="s">
        <x:v>896</x:v>
      </x:c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0"/>
      <x:c r="V42" s="160"/>
      <x:c r="W42" s="160"/>
      <x:c r="X42" s="160"/>
      <x:c r="Y42" s="160"/>
      <x:c r="Z42" s="160"/>
    </x:row>
    <x:row r="43" ht="31.899999618530273" customHeight="1">
      <x:c r="A43" s="174" t="s">
        <x:v>878</x:v>
      </x:c>
      <x:c r="B43" s="174" t="s">
        <x:v>413</x:v>
      </x:c>
      <x:c r="C43" s="175" t="s">
        <x:v>873</x:v>
      </x:c>
      <x:c r="D43" s="175" t="s">
        <x:v>823</x:v>
      </x:c>
      <x:c r="E43" s="175" t="s">
        <x:v>834</x:v>
      </x:c>
      <x:c r="F43" s="175" t="s">
        <x:v>897</x:v>
      </x:c>
      <x:c r="G43" s="175" t="s">
        <x:v>898</x:v>
      </x:c>
      <x:c r="H43" s="175" t="s">
        <x:v>823</x:v>
      </x:c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0"/>
      <x:c r="V43" s="160"/>
      <x:c r="W43" s="160"/>
      <x:c r="X43" s="160"/>
      <x:c r="Y43" s="160"/>
      <x:c r="Z43" s="160"/>
    </x:row>
    <x:row r="44" ht="31.899999618530273" customHeight="1">
      <x:c r="A44" s="174" t="s">
        <x:v>878</x:v>
      </x:c>
      <x:c r="B44" s="174" t="s">
        <x:v>414</x:v>
      </x:c>
      <x:c r="C44" s="175" t="s">
        <x:v>844</x:v>
      </x:c>
      <x:c r="D44" s="175" t="s">
        <x:v>823</x:v>
      </x:c>
      <x:c r="E44" s="175" t="s">
        <x:v>834</x:v>
      </x:c>
      <x:c r="F44" s="175" t="s">
        <x:v>899</x:v>
      </x:c>
      <x:c r="G44" s="175" t="s">
        <x:v>900</x:v>
      </x:c>
      <x:c r="H44" s="175" t="s">
        <x:v>901</x:v>
      </x:c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0"/>
      <x:c r="V44" s="160"/>
      <x:c r="W44" s="160"/>
      <x:c r="X44" s="160"/>
      <x:c r="Y44" s="160"/>
      <x:c r="Z44" s="160"/>
    </x:row>
    <x:row r="45" ht="31.899999618530273" customHeight="1">
      <x:c r="A45" s="174" t="s">
        <x:v>878</x:v>
      </x:c>
      <x:c r="B45" s="174" t="s">
        <x:v>40</x:v>
      </x:c>
      <x:c r="C45" s="175" t="s">
        <x:v>873</x:v>
      </x:c>
      <x:c r="D45" s="175" t="s">
        <x:v>823</x:v>
      </x:c>
      <x:c r="E45" s="175" t="s">
        <x:v>834</x:v>
      </x:c>
      <x:c r="F45" s="175" t="s">
        <x:v>874</x:v>
      </x:c>
      <x:c r="G45" s="175" t="s">
        <x:v>902</x:v>
      </x:c>
      <x:c r="H45" s="175" t="s">
        <x:v>823</x:v>
      </x:c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0"/>
      <x:c r="V45" s="160"/>
      <x:c r="W45" s="160"/>
      <x:c r="X45" s="160"/>
      <x:c r="Y45" s="160"/>
      <x:c r="Z45" s="160"/>
    </x:row>
    <x:row r="46" ht="44.650001525878906" customHeight="1">
      <x:c r="A46" s="174" t="s">
        <x:v>878</x:v>
      </x:c>
      <x:c r="B46" s="174" t="s">
        <x:v>415</x:v>
      </x:c>
      <x:c r="C46" s="175" t="s">
        <x:v>844</x:v>
      </x:c>
      <x:c r="D46" s="175" t="s">
        <x:v>823</x:v>
      </x:c>
      <x:c r="E46" s="175" t="s">
        <x:v>834</x:v>
      </x:c>
      <x:c r="F46" s="175" t="s">
        <x:v>903</x:v>
      </x:c>
      <x:c r="G46" s="175" t="s">
        <x:v>904</x:v>
      </x:c>
      <x:c r="H46" s="175" t="s">
        <x:v>905</x:v>
      </x:c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0"/>
      <x:c r="V46" s="160"/>
      <x:c r="W46" s="160"/>
      <x:c r="X46" s="160"/>
      <x:c r="Y46" s="160"/>
      <x:c r="Z46" s="160"/>
    </x:row>
    <x:row r="47" ht="31.899999618530273" customHeight="1">
      <x:c r="A47" s="453" t="s">
        <x:v>878</x:v>
      </x:c>
      <x:c r="B47" s="453" t="s">
        <x:v>13</x:v>
      </x:c>
      <x:c r="C47" s="453" t="s">
        <x:v>851</x:v>
      </x:c>
      <x:c r="D47" s="453" t="s">
        <x:v>823</x:v>
      </x:c>
      <x:c r="E47" s="453" t="s">
        <x:v>826</x:v>
      </x:c>
      <x:c r="F47" s="453" t="s">
        <x:v>827</x:v>
      </x:c>
      <x:c r="G47" s="453" t="s">
        <x:v>823</x:v>
      </x:c>
      <x:c r="H47" s="453" t="s">
        <x:v>906</x:v>
      </x:c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0"/>
      <x:c r="V47" s="160"/>
      <x:c r="W47" s="160"/>
      <x:c r="X47" s="160"/>
      <x:c r="Y47" s="160"/>
      <x:c r="Z47" s="160"/>
    </x:row>
    <x:row r="48">
      <x:c r="A48" s="436"/>
      <x:c r="B48" s="295"/>
      <x:c r="C48" s="295"/>
      <x:c r="D48" s="295"/>
      <x:c r="E48" s="295"/>
      <x:c r="F48" s="295"/>
      <x:c r="G48" s="295"/>
      <x:c r="H48" s="437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0"/>
      <x:c r="V48" s="160"/>
      <x:c r="W48" s="160"/>
      <x:c r="X48" s="160"/>
      <x:c r="Y48" s="160"/>
      <x:c r="Z48" s="160"/>
    </x:row>
    <x:row r="49" ht="18" customHeight="1">
      <x:c r="A49" s="459" t="s">
        <x:v>907</x:v>
      </x:c>
      <x:c r="B49" s="295"/>
      <x:c r="C49" s="295"/>
      <x:c r="D49" s="295"/>
      <x:c r="E49" s="295"/>
      <x:c r="F49" s="295"/>
      <x:c r="G49" s="295"/>
      <x:c r="H49" s="437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0"/>
      <x:c r="V49" s="160"/>
      <x:c r="W49" s="160"/>
      <x:c r="X49" s="160"/>
      <x:c r="Y49" s="160"/>
      <x:c r="Z49" s="160"/>
    </x:row>
    <x:row r="50" ht="21.950000762939453" customHeight="1">
      <x:c r="A50" s="161" t="s">
        <x:v>908</x:v>
      </x:c>
      <x:c r="B50" s="161" t="s">
        <x:v>909</x:v>
      </x:c>
      <x:c r="C50" s="161" t="s">
        <x:v>910</x:v>
      </x:c>
      <x:c r="D50" s="161" t="s">
        <x:v>911</x:v>
      </x:c>
      <x:c r="E50" s="161" t="s">
        <x:v>823</x:v>
      </x:c>
      <x:c r="F50" s="161" t="s">
        <x:v>823</x:v>
      </x:c>
      <x:c r="G50" s="161" t="s">
        <x:v>912</x:v>
      </x:c>
      <x:c r="H50" s="161" t="s">
        <x:v>434</x:v>
      </x:c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0"/>
      <x:c r="V50" s="160"/>
      <x:c r="W50" s="160"/>
      <x:c r="X50" s="160"/>
      <x:c r="Y50" s="160"/>
      <x:c r="Z50" s="160"/>
    </x:row>
    <x:row r="51" ht="31.899999618530273" customHeight="1">
      <x:c r="A51" s="453" t="s">
        <x:v>913</x:v>
      </x:c>
      <x:c r="B51" s="453" t="s">
        <x:v>914</x:v>
      </x:c>
      <x:c r="C51" s="453" t="s">
        <x:v>915</x:v>
      </x:c>
      <x:c r="D51" s="453" t="s">
        <x:v>916</x:v>
      </x:c>
      <x:c r="E51" s="453" t="s">
        <x:v>823</x:v>
      </x:c>
      <x:c r="F51" s="453" t="s">
        <x:v>823</x:v>
      </x:c>
      <x:c r="G51" s="453" t="s">
        <x:v>917</x:v>
      </x:c>
      <x:c r="H51" s="453" t="s">
        <x:v>918</x:v>
      </x:c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0"/>
      <x:c r="V51" s="160"/>
      <x:c r="W51" s="160"/>
      <x:c r="X51" s="160"/>
      <x:c r="Y51" s="160"/>
      <x:c r="Z51" s="160"/>
    </x:row>
    <x:row r="52" ht="31.899999618530273" customHeight="1">
      <x:c r="A52" s="174" t="s">
        <x:v>919</x:v>
      </x:c>
      <x:c r="B52" s="174" t="s">
        <x:v>920</x:v>
      </x:c>
      <x:c r="C52" s="175" t="s">
        <x:v>921</x:v>
      </x:c>
      <x:c r="D52" s="175" t="s">
        <x:v>916</x:v>
      </x:c>
      <x:c r="E52" s="175" t="s">
        <x:v>823</x:v>
      </x:c>
      <x:c r="F52" s="175" t="s">
        <x:v>823</x:v>
      </x:c>
      <x:c r="G52" s="175" t="s">
        <x:v>922</x:v>
      </x:c>
      <x:c r="H52" s="175" t="s">
        <x:v>923</x:v>
      </x:c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0"/>
      <x:c r="Z52" s="160"/>
    </x:row>
    <x:row r="53" ht="44.650001525878906" customHeight="1">
      <x:c r="A53" s="174" t="s">
        <x:v>924</x:v>
      </x:c>
      <x:c r="B53" s="174" t="s">
        <x:v>925</x:v>
      </x:c>
      <x:c r="C53" s="175" t="s">
        <x:v>921</x:v>
      </x:c>
      <x:c r="D53" s="175" t="s">
        <x:v>878</x:v>
      </x:c>
      <x:c r="E53" s="175" t="s">
        <x:v>823</x:v>
      </x:c>
      <x:c r="F53" s="175" t="s">
        <x:v>823</x:v>
      </x:c>
      <x:c r="G53" s="175" t="s">
        <x:v>926</x:v>
      </x:c>
      <x:c r="H53" s="175" t="s">
        <x:v>927</x:v>
      </x:c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0"/>
      <x:c r="V53" s="160"/>
      <x:c r="W53" s="160"/>
      <x:c r="X53" s="160"/>
      <x:c r="Y53" s="160"/>
      <x:c r="Z53" s="160"/>
    </x:row>
    <x:row r="54" ht="31.899999618530273" customHeight="1">
      <x:c r="A54" s="174" t="s">
        <x:v>928</x:v>
      </x:c>
      <x:c r="B54" s="174" t="s">
        <x:v>929</x:v>
      </x:c>
      <x:c r="C54" s="175" t="s">
        <x:v>930</x:v>
      </x:c>
      <x:c r="D54" s="175" t="s">
        <x:v>818</x:v>
      </x:c>
      <x:c r="E54" s="175" t="s">
        <x:v>823</x:v>
      </x:c>
      <x:c r="F54" s="175" t="s">
        <x:v>823</x:v>
      </x:c>
      <x:c r="G54" s="175" t="s">
        <x:v>931</x:v>
      </x:c>
      <x:c r="H54" s="175" t="s">
        <x:v>932</x:v>
      </x:c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0"/>
      <x:c r="V54" s="160"/>
      <x:c r="W54" s="160"/>
      <x:c r="X54" s="160"/>
      <x:c r="Y54" s="160"/>
      <x:c r="Z54" s="160"/>
    </x:row>
    <x:row r="55">
      <x:c r="A55" s="436"/>
      <x:c r="B55" s="295"/>
      <x:c r="C55" s="295"/>
      <x:c r="D55" s="295"/>
      <x:c r="E55" s="295"/>
      <x:c r="F55" s="295"/>
      <x:c r="G55" s="295"/>
      <x:c r="H55" s="437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0"/>
      <x:c r="V55" s="160"/>
      <x:c r="W55" s="160"/>
      <x:c r="X55" s="160"/>
      <x:c r="Y55" s="160"/>
      <x:c r="Z55" s="160"/>
    </x:row>
    <x:row r="56" ht="18" customHeight="1">
      <x:c r="A56" s="459" t="s">
        <x:v>933</x:v>
      </x:c>
      <x:c r="B56" s="295"/>
      <x:c r="C56" s="295"/>
      <x:c r="D56" s="295"/>
      <x:c r="E56" s="295"/>
      <x:c r="F56" s="295"/>
      <x:c r="G56" s="295"/>
      <x:c r="H56" s="437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0"/>
      <x:c r="V56" s="160"/>
      <x:c r="W56" s="160"/>
      <x:c r="X56" s="160"/>
      <x:c r="Y56" s="160"/>
      <x:c r="Z56" s="160"/>
    </x:row>
    <x:row r="57" ht="21.950000762939453" customHeight="1">
      <x:c r="A57" s="161" t="s">
        <x:v>934</x:v>
      </x:c>
      <x:c r="B57" s="161" t="s">
        <x:v>912</x:v>
      </x:c>
      <x:c r="C57" s="161" t="s">
        <x:v>935</x:v>
      </x:c>
      <x:c r="D57" s="161" t="s">
        <x:v>813</x:v>
      </x:c>
      <x:c r="E57" s="161" t="s">
        <x:v>823</x:v>
      </x:c>
      <x:c r="F57" s="161" t="s">
        <x:v>823</x:v>
      </x:c>
      <x:c r="G57" s="161" t="s">
        <x:v>936</x:v>
      </x:c>
      <x:c r="H57" s="161" t="s">
        <x:v>937</x:v>
      </x:c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0"/>
      <x:c r="V57" s="160"/>
      <x:c r="W57" s="160"/>
      <x:c r="X57" s="160"/>
      <x:c r="Y57" s="160"/>
      <x:c r="Z57" s="160"/>
    </x:row>
    <x:row r="58" ht="21.950000762939453" customHeight="1">
      <x:c r="A58" s="174" t="s">
        <x:v>938</x:v>
      </x:c>
      <x:c r="B58" s="174" t="s">
        <x:v>939</x:v>
      </x:c>
      <x:c r="C58" s="175" t="s">
        <x:v>818</x:v>
      </x:c>
      <x:c r="D58" s="175" t="s">
        <x:v>940</x:v>
      </x:c>
      <x:c r="E58" s="175" t="s">
        <x:v>823</x:v>
      </x:c>
      <x:c r="F58" s="175" t="s">
        <x:v>823</x:v>
      </x:c>
      <x:c r="G58" s="175" t="s">
        <x:v>941</x:v>
      </x:c>
      <x:c r="H58" s="175" t="s">
        <x:v>942</x:v>
      </x:c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0"/>
      <x:c r="V58" s="160"/>
      <x:c r="W58" s="160"/>
      <x:c r="X58" s="160"/>
      <x:c r="Y58" s="160"/>
      <x:c r="Z58" s="160"/>
    </x:row>
    <x:row r="59" ht="21.950000762939453" customHeight="1">
      <x:c r="A59" s="174" t="s">
        <x:v>943</x:v>
      </x:c>
      <x:c r="B59" s="174" t="s">
        <x:v>7</x:v>
      </x:c>
      <x:c r="C59" s="175" t="s">
        <x:v>818</x:v>
      </x:c>
      <x:c r="D59" s="175" t="s">
        <x:v>592</x:v>
      </x:c>
      <x:c r="E59" s="175" t="s">
        <x:v>823</x:v>
      </x:c>
      <x:c r="F59" s="175" t="s">
        <x:v>823</x:v>
      </x:c>
      <x:c r="G59" s="175" t="s">
        <x:v>944</x:v>
      </x:c>
      <x:c r="H59" s="175" t="s">
        <x:v>945</x:v>
      </x:c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0"/>
      <x:c r="V59" s="160"/>
      <x:c r="W59" s="160"/>
      <x:c r="X59" s="160"/>
      <x:c r="Y59" s="160"/>
      <x:c r="Z59" s="160"/>
    </x:row>
    <x:row r="60" ht="21.950000762939453" customHeight="1">
      <x:c r="A60" s="174" t="s">
        <x:v>946</x:v>
      </x:c>
      <x:c r="B60" s="174" t="s">
        <x:v>413</x:v>
      </x:c>
      <x:c r="C60" s="175" t="s">
        <x:v>878</x:v>
      </x:c>
      <x:c r="D60" s="175" t="s">
        <x:v>940</x:v>
      </x:c>
      <x:c r="E60" s="175" t="s">
        <x:v>823</x:v>
      </x:c>
      <x:c r="F60" s="175" t="s">
        <x:v>823</x:v>
      </x:c>
      <x:c r="G60" s="175" t="s">
        <x:v>947</x:v>
      </x:c>
      <x:c r="H60" s="175" t="s">
        <x:v>948</x:v>
      </x:c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0"/>
      <x:c r="V60" s="160"/>
      <x:c r="W60" s="160"/>
      <x:c r="X60" s="160"/>
      <x:c r="Y60" s="160"/>
      <x:c r="Z60" s="160"/>
    </x:row>
    <x:row r="61" ht="21.950000762939453" customHeight="1">
      <x:c r="A61" s="174" t="s">
        <x:v>949</x:v>
      </x:c>
      <x:c r="B61" s="174" t="s">
        <x:v>950</x:v>
      </x:c>
      <x:c r="C61" s="175" t="s">
        <x:v>878</x:v>
      </x:c>
      <x:c r="D61" s="175" t="s">
        <x:v>592</x:v>
      </x:c>
      <x:c r="E61" s="175" t="s">
        <x:v>823</x:v>
      </x:c>
      <x:c r="F61" s="175" t="s">
        <x:v>823</x:v>
      </x:c>
      <x:c r="G61" s="175" t="s">
        <x:v>951</x:v>
      </x:c>
      <x:c r="H61" s="175" t="s">
        <x:v>952</x:v>
      </x:c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0"/>
      <x:c r="V61" s="160"/>
      <x:c r="W61" s="160"/>
      <x:c r="X61" s="160"/>
      <x:c r="Y61" s="160"/>
      <x:c r="Z61" s="160"/>
    </x:row>
    <x:row r="62" ht="31.899999618530273" customHeight="1">
      <x:c r="A62" s="453" t="s">
        <x:v>953</x:v>
      </x:c>
      <x:c r="B62" s="453" t="s">
        <x:v>415</x:v>
      </x:c>
      <x:c r="C62" s="453" t="s">
        <x:v>878</x:v>
      </x:c>
      <x:c r="D62" s="453" t="s">
        <x:v>592</x:v>
      </x:c>
      <x:c r="E62" s="453" t="s">
        <x:v>823</x:v>
      </x:c>
      <x:c r="F62" s="453" t="s">
        <x:v>823</x:v>
      </x:c>
      <x:c r="G62" s="453" t="s">
        <x:v>954</x:v>
      </x:c>
      <x:c r="H62" s="453" t="s">
        <x:v>955</x:v>
      </x:c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0"/>
      <x:c r="V62" s="160"/>
      <x:c r="W62" s="160"/>
      <x:c r="X62" s="160"/>
      <x:c r="Y62" s="160"/>
      <x:c r="Z62" s="160"/>
    </x:row>
    <x:row r="63" ht="21.950000762939453" customHeight="1">
      <x:c r="A63" s="174" t="s">
        <x:v>956</x:v>
      </x:c>
      <x:c r="B63" s="174" t="s">
        <x:v>957</x:v>
      </x:c>
      <x:c r="C63" s="175" t="s">
        <x:v>857</x:v>
      </x:c>
      <x:c r="D63" s="175" t="s">
        <x:v>958</x:v>
      </x:c>
      <x:c r="E63" s="175" t="s">
        <x:v>823</x:v>
      </x:c>
      <x:c r="F63" s="175" t="s">
        <x:v>823</x:v>
      </x:c>
      <x:c r="G63" s="175" t="s">
        <x:v>959</x:v>
      </x:c>
      <x:c r="H63" s="175" t="s">
        <x:v>960</x:v>
      </x:c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0"/>
      <x:c r="V63" s="160"/>
      <x:c r="W63" s="160"/>
      <x:c r="X63" s="160"/>
      <x:c r="Y63" s="160"/>
      <x:c r="Z63" s="160"/>
    </x:row>
    <x:row r="64" ht="31.899999618530273" customHeight="1">
      <x:c r="A64" s="174" t="s">
        <x:v>961</x:v>
      </x:c>
      <x:c r="B64" s="174" t="s">
        <x:v>962</x:v>
      </x:c>
      <x:c r="C64" s="175" t="s">
        <x:v>878</x:v>
      </x:c>
      <x:c r="D64" s="175" t="s">
        <x:v>963</x:v>
      </x:c>
      <x:c r="E64" s="175" t="s">
        <x:v>823</x:v>
      </x:c>
      <x:c r="F64" s="175" t="s">
        <x:v>823</x:v>
      </x:c>
      <x:c r="G64" s="175" t="s">
        <x:v>964</x:v>
      </x:c>
      <x:c r="H64" s="175" t="s">
        <x:v>965</x:v>
      </x:c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0"/>
      <x:c r="V64" s="160"/>
      <x:c r="W64" s="160"/>
      <x:c r="X64" s="160"/>
      <x:c r="Y64" s="160"/>
      <x:c r="Z64" s="160"/>
    </x:row>
    <x:row r="65" ht="21.950000762939453" customHeight="1">
      <x:c r="A65" s="174" t="s">
        <x:v>966</x:v>
      </x:c>
      <x:c r="B65" s="174" t="s">
        <x:v>967</x:v>
      </x:c>
      <x:c r="C65" s="175" t="s">
        <x:v>818</x:v>
      </x:c>
      <x:c r="D65" s="175" t="s">
        <x:v>963</x:v>
      </x:c>
      <x:c r="E65" s="175" t="s">
        <x:v>823</x:v>
      </x:c>
      <x:c r="F65" s="175" t="s">
        <x:v>823</x:v>
      </x:c>
      <x:c r="G65" s="175" t="s">
        <x:v>968</x:v>
      </x:c>
      <x:c r="H65" s="175" t="s">
        <x:v>969</x:v>
      </x:c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0"/>
      <x:c r="V65" s="160"/>
      <x:c r="W65" s="160"/>
      <x:c r="X65" s="160"/>
      <x:c r="Y65" s="160"/>
      <x:c r="Z65" s="160"/>
    </x:row>
    <x:row r="66">
      <x:c r="A66" s="436"/>
      <x:c r="B66" s="295"/>
      <x:c r="C66" s="295"/>
      <x:c r="D66" s="295"/>
      <x:c r="E66" s="295"/>
      <x:c r="F66" s="295"/>
      <x:c r="G66" s="295"/>
      <x:c r="H66" s="437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0"/>
      <x:c r="V66" s="160"/>
      <x:c r="W66" s="160"/>
      <x:c r="X66" s="160"/>
      <x:c r="Y66" s="160"/>
      <x:c r="Z66" s="160"/>
    </x:row>
    <x:row r="67" ht="18" customHeight="1">
      <x:c r="A67" s="459" t="s">
        <x:v>970</x:v>
      </x:c>
      <x:c r="B67" s="295"/>
      <x:c r="C67" s="295"/>
      <x:c r="D67" s="295"/>
      <x:c r="E67" s="295"/>
      <x:c r="F67" s="295"/>
      <x:c r="G67" s="295"/>
      <x:c r="H67" s="437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0"/>
      <x:c r="V67" s="160"/>
      <x:c r="W67" s="160"/>
      <x:c r="X67" s="160"/>
      <x:c r="Y67" s="160"/>
      <x:c r="Z67" s="160"/>
    </x:row>
    <x:row r="68" ht="21.950000762939453" customHeight="1">
      <x:c r="A68" s="161" t="s">
        <x:v>971</x:v>
      </x:c>
      <x:c r="B68" s="161" t="s">
        <x:v>972</x:v>
      </x:c>
      <x:c r="C68" s="161" t="s">
        <x:v>973</x:v>
      </x:c>
      <x:c r="D68" s="161" t="s">
        <x:v>823</x:v>
      </x:c>
      <x:c r="E68" s="161" t="s">
        <x:v>823</x:v>
      </x:c>
      <x:c r="F68" s="161" t="s">
        <x:v>823</x:v>
      </x:c>
      <x:c r="G68" s="161" t="s">
        <x:v>823</x:v>
      </x:c>
      <x:c r="H68" s="161" t="s">
        <x:v>434</x:v>
      </x:c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0"/>
      <x:c r="V68" s="160"/>
      <x:c r="W68" s="160"/>
      <x:c r="X68" s="160"/>
      <x:c r="Y68" s="160"/>
      <x:c r="Z68" s="160"/>
    </x:row>
    <x:row r="69" ht="44.650001525878906" customHeight="1">
      <x:c r="A69" s="174" t="s">
        <x:v>974</x:v>
      </x:c>
      <x:c r="B69" s="174" t="s">
        <x:v>975</x:v>
      </x:c>
      <x:c r="C69" s="175" t="s">
        <x:v>976</x:v>
      </x:c>
      <x:c r="D69" s="175" t="s">
        <x:v>823</x:v>
      </x:c>
      <x:c r="E69" s="175" t="s">
        <x:v>823</x:v>
      </x:c>
      <x:c r="F69" s="175" t="s">
        <x:v>823</x:v>
      </x:c>
      <x:c r="G69" s="175" t="s">
        <x:v>823</x:v>
      </x:c>
      <x:c r="H69" s="175" t="s">
        <x:v>977</x:v>
      </x:c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0"/>
      <x:c r="V69" s="160"/>
      <x:c r="W69" s="160"/>
      <x:c r="X69" s="160"/>
      <x:c r="Y69" s="160"/>
      <x:c r="Z69" s="160"/>
    </x:row>
    <x:row r="70" ht="44.650001525878906" customHeight="1">
      <x:c r="A70" s="174" t="s">
        <x:v>978</x:v>
      </x:c>
      <x:c r="B70" s="174" t="s">
        <x:v>979</x:v>
      </x:c>
      <x:c r="C70" s="175" t="s">
        <x:v>980</x:v>
      </x:c>
      <x:c r="D70" s="175" t="s">
        <x:v>823</x:v>
      </x:c>
      <x:c r="E70" s="175" t="s">
        <x:v>823</x:v>
      </x:c>
      <x:c r="F70" s="175" t="s">
        <x:v>823</x:v>
      </x:c>
      <x:c r="G70" s="175" t="s">
        <x:v>823</x:v>
      </x:c>
      <x:c r="H70" s="175" t="s">
        <x:v>981</x:v>
      </x:c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0"/>
      <x:c r="V70" s="160"/>
      <x:c r="W70" s="160"/>
      <x:c r="X70" s="160"/>
      <x:c r="Y70" s="160"/>
      <x:c r="Z70" s="160"/>
    </x:row>
    <x:row r="71" ht="31.899999618530273" customHeight="1">
      <x:c r="A71" s="174" t="s">
        <x:v>823</x:v>
      </x:c>
      <x:c r="B71" s="174" t="s">
        <x:v>982</x:v>
      </x:c>
      <x:c r="C71" s="175" t="s">
        <x:v>983</x:v>
      </x:c>
      <x:c r="D71" s="175" t="s">
        <x:v>823</x:v>
      </x:c>
      <x:c r="E71" s="175" t="s">
        <x:v>823</x:v>
      </x:c>
      <x:c r="F71" s="175" t="s">
        <x:v>823</x:v>
      </x:c>
      <x:c r="G71" s="175" t="s">
        <x:v>823</x:v>
      </x:c>
      <x:c r="H71" s="175" t="s">
        <x:v>984</x:v>
      </x:c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0"/>
      <x:c r="V71" s="160"/>
      <x:c r="W71" s="160"/>
      <x:c r="X71" s="160"/>
      <x:c r="Y71" s="160"/>
      <x:c r="Z71" s="160"/>
    </x:row>
    <x:row r="72">
      <x:c r="A72" s="436"/>
      <x:c r="B72" s="295"/>
      <x:c r="C72" s="295"/>
      <x:c r="D72" s="295"/>
      <x:c r="E72" s="295"/>
      <x:c r="F72" s="295"/>
      <x:c r="G72" s="295"/>
      <x:c r="H72" s="437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0"/>
      <x:c r="V72" s="160"/>
      <x:c r="W72" s="160"/>
      <x:c r="X72" s="160"/>
      <x:c r="Y72" s="160"/>
      <x:c r="Z72" s="160"/>
    </x:row>
    <x:row r="73" ht="18" customHeight="1">
      <x:c r="A73" s="459" t="s">
        <x:v>985</x:v>
      </x:c>
      <x:c r="B73" s="295"/>
      <x:c r="C73" s="295"/>
      <x:c r="D73" s="295"/>
      <x:c r="E73" s="295"/>
      <x:c r="F73" s="295"/>
      <x:c r="G73" s="295"/>
      <x:c r="H73" s="437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0"/>
      <x:c r="V73" s="160"/>
      <x:c r="W73" s="160"/>
      <x:c r="X73" s="160"/>
      <x:c r="Y73" s="160"/>
      <x:c r="Z73" s="160"/>
    </x:row>
    <x:row r="74" ht="31.899999618530273" customHeight="1">
      <x:c r="A74" s="460" t="s">
        <x:v>986</x:v>
      </x:c>
      <x:c r="B74" s="440"/>
      <x:c r="C74" s="440"/>
      <x:c r="D74" s="440"/>
      <x:c r="E74" s="440"/>
      <x:c r="F74" s="440"/>
      <x:c r="G74" s="440"/>
      <x:c r="H74" s="408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0"/>
      <x:c r="V74" s="160"/>
      <x:c r="W74" s="160"/>
      <x:c r="X74" s="160"/>
      <x:c r="Y74" s="160"/>
      <x:c r="Z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0"/>
      <x:c r="V75" s="160"/>
      <x:c r="W75" s="160"/>
      <x:c r="X75" s="160"/>
      <x:c r="Y75" s="160"/>
      <x:c r="Z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0"/>
      <x:c r="V76" s="160"/>
      <x:c r="W76" s="160"/>
      <x:c r="X76" s="160"/>
      <x:c r="Y76" s="160"/>
      <x:c r="Z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0"/>
      <x:c r="V77" s="160"/>
      <x:c r="W77" s="160"/>
      <x:c r="X77" s="160"/>
      <x:c r="Y77" s="160"/>
      <x:c r="Z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0"/>
      <x:c r="V78" s="160"/>
      <x:c r="W78" s="160"/>
      <x:c r="X78" s="160"/>
      <x:c r="Y78" s="160"/>
      <x:c r="Z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0"/>
      <x:c r="V79" s="160"/>
      <x:c r="W79" s="160"/>
      <x:c r="X79" s="160"/>
      <x:c r="Y79" s="160"/>
      <x:c r="Z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0"/>
      <x:c r="V80" s="160"/>
      <x:c r="W80" s="160"/>
      <x:c r="X80" s="160"/>
      <x:c r="Y80" s="160"/>
      <x:c r="Z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0"/>
      <x:c r="V81" s="160"/>
      <x:c r="W81" s="160"/>
      <x:c r="X81" s="160"/>
      <x:c r="Y81" s="160"/>
      <x:c r="Z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0"/>
      <x:c r="V82" s="160"/>
      <x:c r="W82" s="160"/>
      <x:c r="X82" s="160"/>
      <x:c r="Y82" s="160"/>
      <x:c r="Z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0"/>
      <x:c r="V83" s="160"/>
      <x:c r="W83" s="160"/>
      <x:c r="X83" s="160"/>
      <x:c r="Y83" s="160"/>
      <x:c r="Z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0"/>
      <x:c r="V84" s="160"/>
      <x:c r="W84" s="160"/>
      <x:c r="X84" s="160"/>
      <x:c r="Y84" s="160"/>
      <x:c r="Z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0"/>
      <x:c r="V85" s="160"/>
      <x:c r="W85" s="160"/>
      <x:c r="X85" s="160"/>
      <x:c r="Y85" s="160"/>
      <x:c r="Z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0"/>
      <x:c r="V86" s="160"/>
      <x:c r="W86" s="160"/>
      <x:c r="X86" s="160"/>
      <x:c r="Y86" s="160"/>
      <x:c r="Z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0"/>
      <x:c r="V87" s="160"/>
      <x:c r="W87" s="160"/>
      <x:c r="X87" s="160"/>
      <x:c r="Y87" s="160"/>
      <x:c r="Z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0"/>
      <x:c r="V88" s="160"/>
      <x:c r="W88" s="160"/>
      <x:c r="X88" s="160"/>
      <x:c r="Y88" s="160"/>
      <x:c r="Z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0"/>
      <x:c r="V89" s="160"/>
      <x:c r="W89" s="160"/>
      <x:c r="X89" s="160"/>
      <x:c r="Y89" s="160"/>
      <x:c r="Z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0"/>
      <x:c r="V90" s="160"/>
      <x:c r="W90" s="160"/>
      <x:c r="X90" s="160"/>
      <x:c r="Y90" s="160"/>
      <x:c r="Z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0"/>
      <x:c r="V91" s="160"/>
      <x:c r="W91" s="160"/>
      <x:c r="X91" s="160"/>
      <x:c r="Y91" s="160"/>
      <x:c r="Z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0"/>
      <x:c r="V92" s="160"/>
      <x:c r="W92" s="160"/>
      <x:c r="X92" s="160"/>
      <x:c r="Y92" s="160"/>
      <x:c r="Z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0"/>
      <x:c r="V93" s="160"/>
      <x:c r="W93" s="160"/>
      <x:c r="X93" s="160"/>
      <x:c r="Y93" s="160"/>
      <x:c r="Z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0"/>
      <x:c r="V94" s="160"/>
      <x:c r="W94" s="160"/>
      <x:c r="X94" s="160"/>
      <x:c r="Y94" s="160"/>
      <x:c r="Z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0"/>
      <x:c r="V95" s="160"/>
      <x:c r="W95" s="160"/>
      <x:c r="X95" s="160"/>
      <x:c r="Y95" s="160"/>
      <x:c r="Z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0"/>
      <x:c r="V96" s="160"/>
      <x:c r="W96" s="160"/>
      <x:c r="X96" s="160"/>
      <x:c r="Y96" s="160"/>
      <x:c r="Z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0"/>
      <x:c r="V97" s="160"/>
      <x:c r="W97" s="160"/>
      <x:c r="X97" s="160"/>
      <x:c r="Y97" s="160"/>
      <x:c r="Z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0"/>
      <x:c r="V98" s="160"/>
      <x:c r="W98" s="160"/>
      <x:c r="X98" s="160"/>
      <x:c r="Y98" s="160"/>
      <x:c r="Z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0"/>
      <x:c r="V99" s="160"/>
      <x:c r="W99" s="160"/>
      <x:c r="X99" s="160"/>
      <x:c r="Y99" s="160"/>
      <x:c r="Z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0"/>
      <x:c r="V100" s="160"/>
      <x:c r="W100" s="160"/>
      <x:c r="X100" s="160"/>
      <x:c r="Y100" s="160"/>
      <x:c r="Z100" s="160"/>
    </x:row>
  </x:sheetData>
  <x:mergeCells>
    <x:mergeCell ref="A1:H1"/>
    <x:mergeCell ref="A4:H4"/>
    <x:mergeCell ref="A56:H56"/>
    <x:mergeCell ref="A67:H67"/>
    <x:mergeCell ref="A74:H74"/>
    <x:mergeCell ref="A73:H73"/>
    <x:mergeCell ref="A2:H2"/>
    <x:mergeCell ref="A49:H49"/>
    <x:mergeCell ref="A5:H5"/>
    <x:mergeCell ref="A6:H6"/>
    <x:mergeCell ref="A22:H22"/>
    <x:mergeCell ref="A34:H3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121" t="str">
        <x:v>VISTORIA &amp; GARANTIAS — MANUAL DE USO</x:v>
      </x:c>
      <x:c r="B1" s="121"/>
      <x:c r="C1" s="121"/>
      <x:c r="D1" s="121"/>
      <x:c r="E1" s="121"/>
      <x:c r="F1" s="121"/>
      <x:c r="G1" s="121"/>
      <x:c r="H1" s="121"/>
    </x:row>
    <x:row r="2" ht="30" customHeight="1">
      <x:c r="A2" s="128" t="str">
        <x:v>Planilha de apoio à vistoria de residências, controle de garantias e análise de manifestações patológicas</x:v>
      </x:c>
      <x:c r="B2" s="128"/>
      <x:c r="C2" s="128"/>
      <x:c r="D2" s="128"/>
      <x:c r="E2" s="128"/>
      <x:c r="F2" s="128"/>
      <x:c r="G2" s="128"/>
      <x:c r="H2" s="128"/>
    </x:row>
    <x:row r="3" ht="20" customHeight="1"/>
    <x:row r="4" ht="20" customHeight="1">
      <x:c r="A4" s="141" t="str">
        <x:v>1. COMEÇANDO</x:v>
      </x:c>
      <x:c r="B4" s="141" t="str"/>
      <x:c r="C4" s="141" t="str"/>
      <x:c r="D4" s="141" t="str"/>
      <x:c r="E4" s="141" t="str"/>
      <x:c r="F4" s="141" t="str"/>
      <x:c r="G4" s="141" t="str"/>
      <x:c r="H4" s="141" t="str"/>
    </x:row>
    <x:row r="5" ht="20" customHeight="1">
      <x:c r="A5" s="136" t="str">
        <x:v>Ordem recomendada</x:v>
      </x:c>
      <x:c r="B5" s="134" t="str">
        <x:v>1) Obras  →  2) Lancamentos  →  3) Painel</x:v>
      </x:c>
      <x:c r="C5" s="134" t="str"/>
      <x:c r="D5" s="134" t="str"/>
      <x:c r="E5" s="134" t="str"/>
      <x:c r="F5" s="134" t="str"/>
      <x:c r="G5" s="134" t="str"/>
      <x:c r="H5" s="134" t="str"/>
    </x:row>
    <x:row r="6" ht="20" customHeight="1">
      <x:c r="A6" s="136" t="str">
        <x:v>Objetivo</x:v>
      </x:c>
      <x:c r="B6" s="134" t="str">
        <x:v>Cadastrar a residência, registrar itens verificados e visualizar prioridades e situação das garantias.</x:v>
      </x:c>
      <x:c r="C6" s="134" t="str"/>
      <x:c r="D6" s="134" t="str"/>
      <x:c r="E6" s="134" t="str"/>
      <x:c r="F6" s="134" t="str"/>
      <x:c r="G6" s="134" t="str"/>
      <x:c r="H6" s="134" t="str"/>
    </x:row>
    <x:row r="7" ht="20" customHeight="1">
      <x:c r="A7" s="136" t="str">
        <x:v>Regra de ouro</x:v>
      </x:c>
      <x:c r="B7" s="134" t="str">
        <x:v>Preencha somente as células destinadas à entrada de dados. Não altere fórmulas, IDs ou o catálogo técnico.</x:v>
      </x:c>
      <x:c r="C7" s="134" t="str"/>
      <x:c r="D7" s="134" t="str"/>
      <x:c r="E7" s="134" t="str"/>
      <x:c r="F7" s="134" t="str"/>
      <x:c r="G7" s="134" t="str"/>
      <x:c r="H7" s="134" t="str"/>
    </x:row>
    <x:row r="8" ht="20" customHeight="1">
      <x:c r="A8" s="136" t="str"/>
      <x:c r="B8" s="134" t="str"/>
      <x:c r="C8" s="134" t="str"/>
      <x:c r="D8" s="134" t="str"/>
      <x:c r="E8" s="134" t="str"/>
      <x:c r="F8" s="134" t="str"/>
      <x:c r="G8" s="134" t="str"/>
      <x:c r="H8" s="134" t="str"/>
    </x:row>
    <x:row r="9" ht="20" customHeight="1">
      <x:c r="A9" s="136" t="str">
        <x:v>2. ABA OBRAS — CADASTRO DA RESIDÊNCIA</x:v>
      </x:c>
      <x:c r="B9" s="134" t="str"/>
      <x:c r="C9" s="134" t="str"/>
      <x:c r="D9" s="134" t="str"/>
      <x:c r="E9" s="134" t="str"/>
      <x:c r="F9" s="134" t="str"/>
      <x:c r="G9" s="134" t="str"/>
      <x:c r="H9" s="134" t="str"/>
    </x:row>
    <x:row r="10" ht="20" customHeight="1">
      <x:c r="A10" s="141" t="str">
        <x:v>Preencha</x:v>
      </x:c>
      <x:c r="B10" s="141" t="str">
        <x:v>Identificação, endereço, Habite-se, protocolo do projeto, data da vistoria, manual, manutenção, reforma e observações.</x:v>
      </x:c>
      <x:c r="C10" s="141" t="str"/>
      <x:c r="D10" s="141" t="str"/>
      <x:c r="E10" s="141" t="str"/>
      <x:c r="F10" s="141" t="str"/>
      <x:c r="G10" s="141" t="str"/>
      <x:c r="H10" s="141" t="str"/>
    </x:row>
    <x:row r="11" ht="20" customHeight="1">
      <x:c r="A11" s="136" t="str">
        <x:v>Habite-se</x:v>
      </x:c>
      <x:c r="B11" s="134" t="str">
        <x:v>É a referência usada para a contagem do prazo de garantia no modelo.</x:v>
      </x:c>
      <x:c r="C11" s="134" t="str"/>
      <x:c r="D11" s="134" t="str"/>
      <x:c r="E11" s="134" t="str"/>
      <x:c r="F11" s="134" t="str"/>
      <x:c r="G11" s="134" t="str"/>
      <x:c r="H11" s="134" t="str"/>
    </x:row>
    <x:row r="12" ht="20" customHeight="1">
      <x:c r="A12" s="136" t="str">
        <x:v>Protocolo do projeto</x:v>
      </x:c>
      <x:c r="B12" s="134" t="str">
        <x:v>Define o regime normativo aplicável. Não confundir com o Habite-se.</x:v>
      </x:c>
      <x:c r="C12" s="134" t="str"/>
      <x:c r="D12" s="134" t="str"/>
      <x:c r="E12" s="134" t="str"/>
      <x:c r="F12" s="134" t="str"/>
      <x:c r="G12" s="134" t="str"/>
      <x:c r="H12" s="134" t="str"/>
    </x:row>
    <x:row r="13" ht="20" customHeight="1">
      <x:c r="A13" s="136" t="str">
        <x:v>Dica</x:v>
      </x:c>
      <x:c r="B13" s="134" t="str">
        <x:v>Use um apelido simples por unidade, como Casa 01, Casa 02 ou Residência A.</x:v>
      </x:c>
      <x:c r="C13" s="134" t="str"/>
      <x:c r="D13" s="134" t="str"/>
      <x:c r="E13" s="134" t="str"/>
      <x:c r="F13" s="134" t="str"/>
      <x:c r="G13" s="134" t="str"/>
      <x:c r="H13" s="134" t="str"/>
    </x:row>
    <x:row r="14" ht="20" customHeight="1">
      <x:c r="A14" s="136" t="str"/>
      <x:c r="B14" s="134" t="str"/>
      <x:c r="C14" s="134" t="str"/>
      <x:c r="D14" s="134" t="str"/>
      <x:c r="E14" s="134" t="str"/>
      <x:c r="F14" s="134" t="str"/>
      <x:c r="G14" s="134" t="str"/>
      <x:c r="H14" s="134" t="str"/>
    </x:row>
    <x:row r="15" ht="20" customHeight="1">
      <x:c r="A15" s="136" t="str">
        <x:v>3. ABA LANÇAMENTOS — REGISTRO DE CAMPO</x:v>
      </x:c>
      <x:c r="B15" s="134" t="str"/>
      <x:c r="C15" s="134" t="str"/>
      <x:c r="D15" s="134" t="str"/>
      <x:c r="E15" s="134" t="str"/>
      <x:c r="F15" s="134" t="str"/>
      <x:c r="G15" s="134" t="str"/>
      <x:c r="H15" s="134" t="str"/>
    </x:row>
    <x:row r="16" ht="20" customHeight="1">
      <x:c r="A16" s="141" t="str">
        <x:v>Como registrar</x:v>
      </x:c>
      <x:c r="B16" s="141" t="str">
        <x:v>Selecione ID_Obra e ID_Item, marque Ocorrência Sim/Não e, quando houver problema, descreva e preencha G, U e T.</x:v>
      </x:c>
      <x:c r="C16" s="141" t="str"/>
      <x:c r="D16" s="141" t="str"/>
      <x:c r="E16" s="141" t="str"/>
      <x:c r="F16" s="141" t="str"/>
      <x:c r="G16" s="141" t="str"/>
      <x:c r="H16" s="141" t="str"/>
    </x:row>
    <x:row r="17" ht="20" customHeight="1">
      <x:c r="A17" s="136" t="str">
        <x:v>GUT</x:v>
      </x:c>
      <x:c r="B17" s="134" t="str">
        <x:v>Gravidade × Urgência × Tendência. A planilha calcula pontuação e prioridade automaticamente.</x:v>
      </x:c>
      <x:c r="C17" s="134" t="str"/>
      <x:c r="D17" s="134" t="str"/>
      <x:c r="E17" s="134" t="str"/>
      <x:c r="F17" s="134" t="str"/>
      <x:c r="G17" s="134" t="str"/>
      <x:c r="H17" s="134" t="str"/>
    </x:row>
    <x:row r="18" ht="20" customHeight="1">
      <x:c r="A18" s="136" t="str">
        <x:v>Observações</x:v>
      </x:c>
      <x:c r="B18" s="134" t="str">
        <x:v>Use para localização, medidas, código da fotografia, protocolo ou ressalvas técnicas.</x:v>
      </x:c>
      <x:c r="C18" s="134" t="str"/>
      <x:c r="D18" s="134" t="str"/>
      <x:c r="E18" s="134" t="str"/>
      <x:c r="F18" s="134" t="str"/>
      <x:c r="G18" s="134" t="str"/>
      <x:c r="H18" s="134" t="str"/>
    </x:row>
    <x:row r="19" ht="20" customHeight="1">
      <x:c r="A19" s="136" t="str">
        <x:v>Boa prática</x:v>
      </x:c>
      <x:c r="B19" s="134" t="str">
        <x:v>Evite deixar ambíguo: diferencie item verificado sem ocorrência de item não verificado.</x:v>
      </x:c>
      <x:c r="C19" s="134" t="str"/>
      <x:c r="D19" s="134" t="str"/>
      <x:c r="E19" s="134" t="str"/>
      <x:c r="F19" s="134" t="str"/>
      <x:c r="G19" s="134" t="str"/>
      <x:c r="H19" s="134" t="str"/>
    </x:row>
    <x:row r="20" ht="20" customHeight="1">
      <x:c r="A20" s="136" t="str"/>
      <x:c r="B20" s="134" t="str"/>
      <x:c r="C20" s="134" t="str"/>
      <x:c r="D20" s="134" t="str"/>
      <x:c r="E20" s="134" t="str"/>
      <x:c r="F20" s="134" t="str"/>
      <x:c r="G20" s="134" t="str"/>
      <x:c r="H20" s="134" t="str"/>
    </x:row>
    <x:row r="21" ht="20" customHeight="1">
      <x:c r="A21" s="136" t="str">
        <x:v>4. ABA PAINEL — RESULTADOS</x:v>
      </x:c>
      <x:c r="B21" s="134" t="str"/>
      <x:c r="C21" s="134" t="str"/>
      <x:c r="D21" s="134" t="str"/>
      <x:c r="E21" s="134" t="str"/>
      <x:c r="F21" s="134" t="str"/>
      <x:c r="G21" s="134" t="str"/>
      <x:c r="H21" s="134" t="str"/>
    </x:row>
    <x:row r="22" ht="20" customHeight="1">
      <x:c r="A22" s="141" t="str">
        <x:v>O que mostra</x:v>
      </x:c>
      <x:c r="B22" s="141" t="str">
        <x:v>Ocorrências, prioridades, situação das garantias, indicadores por unidade e consolidação da amostra.</x:v>
      </x:c>
      <x:c r="C22" s="141" t="str"/>
      <x:c r="D22" s="141" t="str"/>
      <x:c r="E22" s="141" t="str"/>
      <x:c r="F22" s="141" t="str"/>
      <x:c r="G22" s="141" t="str"/>
      <x:c r="H22" s="141" t="str"/>
    </x:row>
    <x:row r="23" ht="20" customHeight="1">
      <x:c r="A23" s="136" t="str">
        <x:v>Interpretação visual</x:v>
      </x:c>
      <x:c r="B23" s="134" t="str">
        <x:v>Verde = vigente/conforme; amarelo = atenção; vermelho = vencida/alta criticidade.</x:v>
      </x:c>
      <x:c r="C23" s="134" t="str"/>
      <x:c r="D23" s="134" t="str"/>
      <x:c r="E23" s="134" t="str"/>
      <x:c r="F23" s="134" t="str"/>
      <x:c r="G23" s="134" t="str"/>
      <x:c r="H23" s="134" t="str"/>
    </x:row>
    <x:row r="24" ht="20" customHeight="1">
      <x:c r="A24" s="136" t="str">
        <x:v>Uso no TCC</x:v>
      </x:c>
      <x:c r="B24" s="134" t="str">
        <x:v>Os indicadores podem apoiar gráficos, tabelas e a discussão sobre identificação precoce antes do vencimento das garantias.</x:v>
      </x:c>
      <x:c r="C24" s="134" t="str"/>
      <x:c r="D24" s="134" t="str"/>
      <x:c r="E24" s="134" t="str"/>
      <x:c r="F24" s="134" t="str"/>
      <x:c r="G24" s="134" t="str"/>
      <x:c r="H24" s="134" t="str"/>
    </x:row>
    <x:row r="25" ht="20" customHeight="1">
      <x:c r="A25" s="136" t="str"/>
      <x:c r="B25" s="134" t="str"/>
      <x:c r="C25" s="134" t="str"/>
      <x:c r="D25" s="134" t="str"/>
      <x:c r="E25" s="134" t="str"/>
      <x:c r="F25" s="134" t="str"/>
      <x:c r="G25" s="134" t="str"/>
      <x:c r="H25" s="134" t="str"/>
    </x:row>
    <x:row r="26" ht="20" customHeight="1">
      <x:c r="A26" s="136" t="str">
        <x:v>5. ABAS TÉCNICAS</x:v>
      </x:c>
      <x:c r="B26" s="134" t="str"/>
      <x:c r="C26" s="134" t="str"/>
      <x:c r="D26" s="134" t="str"/>
      <x:c r="E26" s="134" t="str"/>
      <x:c r="F26" s="134" t="str"/>
      <x:c r="G26" s="134" t="str"/>
      <x:c r="H26" s="134" t="str"/>
    </x:row>
    <x:row r="27" ht="20" customHeight="1">
      <x:c r="A27" s="141" t="str">
        <x:v>Catalogo</x:v>
      </x:c>
      <x:c r="B27" s="141" t="str">
        <x:v>Base de itens, causas prováveis, enquadramento e prazos. Tratar como somente leitura.</x:v>
      </x:c>
      <x:c r="C27" s="141" t="str"/>
      <x:c r="D27" s="141" t="str"/>
      <x:c r="E27" s="141" t="str"/>
      <x:c r="F27" s="141" t="str"/>
      <x:c r="G27" s="141" t="str"/>
      <x:c r="H27" s="141" t="str"/>
    </x:row>
    <x:row r="28" ht="20" customHeight="1">
      <x:c r="A28" s="136" t="str">
        <x:v>Síntese prazos NBR 17170</x:v>
      </x:c>
      <x:c r="B28" s="134" t="str">
        <x:v>Consulta rápida dos principais patamares aplicáveis ao recorte do trabalho.</x:v>
      </x:c>
      <x:c r="C28" s="134" t="str"/>
      <x:c r="D28" s="134" t="str"/>
      <x:c r="E28" s="134" t="str"/>
      <x:c r="F28" s="134" t="str"/>
      <x:c r="G28" s="134" t="str"/>
      <x:c r="H28" s="134" t="str"/>
    </x:row>
    <x:row r="29" ht="20" customHeight="1">
      <x:c r="A29" s="136" t="str">
        <x:v>Entrega T3</x:v>
      </x:c>
      <x:c r="B29" s="134" t="str">
        <x:v>Checklist de falhas aparentes e acabamentos no ato da entrega.</x:v>
      </x:c>
      <x:c r="C29" s="134" t="str"/>
      <x:c r="D29" s="134" t="str"/>
      <x:c r="E29" s="134" t="str"/>
      <x:c r="F29" s="134" t="str"/>
      <x:c r="G29" s="134" t="str"/>
      <x:c r="H29" s="134" t="str"/>
    </x:row>
    <x:row r="30" ht="20" customHeight="1">
      <x:c r="A30" s="136" t="str">
        <x:v>Checklist Aval. e Classif.</x:v>
      </x:c>
      <x:c r="B30" s="134" t="str">
        <x:v>Roteiro complementar para avaliação técnica e matriz GUT.</x:v>
      </x:c>
      <x:c r="C30" s="134" t="str"/>
      <x:c r="D30" s="134" t="str"/>
      <x:c r="E30" s="134" t="str"/>
      <x:c r="F30" s="134" t="str"/>
      <x:c r="G30" s="134" t="str"/>
      <x:c r="H30" s="134" t="str"/>
    </x:row>
    <x:row r="31" ht="20" customHeight="1">
      <x:c r="A31" s="136" t="str">
        <x:v>Tabelas de apoio</x:v>
      </x:c>
      <x:c r="B31" s="134" t="str">
        <x:v>Escalas GUT, prioridade e classificação da origem das irregularidades.</x:v>
      </x:c>
      <x:c r="C31" s="134" t="str"/>
      <x:c r="D31" s="134" t="str"/>
      <x:c r="E31" s="134" t="str"/>
      <x:c r="F31" s="134" t="str"/>
      <x:c r="G31" s="134" t="str"/>
      <x:c r="H31" s="134" t="str"/>
    </x:row>
    <x:row r="32" ht="20" customHeight="1">
      <x:c r="A32" s="136" t="str">
        <x:v>Modelo de dados</x:v>
      </x:c>
      <x:c r="B32" s="134" t="str">
        <x:v>Documenta a lógica do banco de dados e serve de ponte para a futura plataforma em Python.</x:v>
      </x:c>
      <x:c r="C32" s="134" t="str"/>
      <x:c r="D32" s="134" t="str"/>
      <x:c r="E32" s="134" t="str"/>
      <x:c r="F32" s="134" t="str"/>
      <x:c r="G32" s="134" t="str"/>
      <x:c r="H32" s="134" t="str"/>
    </x:row>
    <x:row r="33" ht="20" customHeight="1">
      <x:c r="A33" s="136" t="str"/>
      <x:c r="B33" s="134" t="str"/>
      <x:c r="C33" s="134" t="str"/>
      <x:c r="D33" s="134" t="str"/>
      <x:c r="E33" s="134" t="str"/>
      <x:c r="F33" s="134" t="str"/>
      <x:c r="G33" s="134" t="str"/>
      <x:c r="H33" s="134" t="str"/>
    </x:row>
    <x:row r="34" ht="20" customHeight="1">
      <x:c r="A34" s="136" t="str">
        <x:v>6. CUIDADOS IMPORTANTES</x:v>
      </x:c>
      <x:c r="B34" s="134" t="str"/>
      <x:c r="C34" s="134" t="str"/>
      <x:c r="D34" s="134" t="str"/>
      <x:c r="E34" s="134" t="str"/>
      <x:c r="F34" s="134" t="str"/>
      <x:c r="G34" s="134" t="str"/>
      <x:c r="H34" s="134" t="str"/>
    </x:row>
    <x:row r="35" ht="20" customHeight="1">
      <x:c r="A35" s="141" t="str">
        <x:v>Garantia</x:v>
      </x:c>
      <x:c r="B35" s="141" t="str">
        <x:v>A situação exibida é uma triagem técnica baseada no prazo cadastrado; não equivale, sozinha, a reconhecimento de responsabilidade da construtora.</x:v>
      </x:c>
      <x:c r="C35" s="141" t="str"/>
      <x:c r="D35" s="141" t="str"/>
      <x:c r="E35" s="141" t="str"/>
      <x:c r="F35" s="141" t="str"/>
      <x:c r="G35" s="141" t="str"/>
      <x:c r="H35" s="141" t="str"/>
    </x:row>
    <x:row r="36" ht="20" customHeight="1">
      <x:c r="A36" s="136" t="str">
        <x:v>Documentação</x:v>
      </x:c>
      <x:c r="B36" s="134" t="str">
        <x:v>Conferir sempre manual, termo de garantia, comprovação de manutenção, reformas e protocolos de assistência técnica.</x:v>
      </x:c>
      <x:c r="C36" s="134" t="str"/>
      <x:c r="D36" s="134" t="str"/>
      <x:c r="E36" s="134" t="str"/>
      <x:c r="F36" s="134" t="str"/>
      <x:c r="G36" s="134" t="str"/>
      <x:c r="H36" s="134" t="str"/>
    </x:row>
    <x:row r="37" ht="20" customHeight="1">
      <x:c r="A37" s="136" t="str">
        <x:v>Fotos</x:v>
      </x:c>
      <x:c r="B37" s="134" t="str">
        <x:v>Padronize códigos: FOTO-001, FOTO-002... e registre o ambiente e a data.</x:v>
      </x:c>
      <x:c r="C37" s="134" t="str"/>
      <x:c r="D37" s="134" t="str"/>
      <x:c r="E37" s="134" t="str"/>
      <x:c r="F37" s="134" t="str"/>
      <x:c r="G37" s="134" t="str"/>
      <x:c r="H37" s="134" t="str"/>
    </x:row>
    <x:row r="38" ht="20" customHeight="1">
      <x:c r="A38" s="136" t="str">
        <x:v>Backup</x:v>
      </x:c>
      <x:c r="B38" s="134" t="str">
        <x:v>Salve uma cópia do arquivo antes de cada campanha de vistoria.</x:v>
      </x:c>
      <x:c r="C38" s="134" t="str"/>
      <x:c r="D38" s="134" t="str"/>
      <x:c r="E38" s="134" t="str"/>
      <x:c r="F38" s="134" t="str"/>
      <x:c r="G38" s="134" t="str"/>
      <x:c r="H38" s="134" t="str"/>
    </x:row>
    <x:row r="39" ht="20" customHeight="1">
      <x:c r="A39" s="136"/>
      <x:c r="B39" s="134"/>
      <x:c r="C39" s="134"/>
      <x:c r="D39" s="134"/>
      <x:c r="E39" s="134"/>
      <x:c r="F39" s="134"/>
      <x:c r="G39" s="134"/>
      <x:c r="H39" s="134"/>
    </x:row>
    <x:row r="40" ht="20" customHeight="1">
      <x:c r="A40" s="136"/>
      <x:c r="B40" s="134"/>
      <x:c r="C40" s="134"/>
      <x:c r="D40" s="134"/>
      <x:c r="E40" s="134"/>
      <x:c r="F40" s="134"/>
      <x:c r="G40" s="134"/>
      <x:c r="H40" s="134"/>
    </x:row>
    <x:row r="41" ht="20" customHeight="1">
      <x:c r="A41" s="136"/>
      <x:c r="B41" s="134"/>
      <x:c r="C41" s="134"/>
      <x:c r="D41" s="134"/>
      <x:c r="E41" s="134"/>
      <x:c r="F41" s="134"/>
      <x:c r="G41" s="134"/>
      <x:c r="H41" s="134"/>
    </x:row>
    <x:row r="42" ht="20" customHeight="1">
      <x:c r="A42" s="136"/>
      <x:c r="B42" s="134"/>
      <x:c r="C42" s="134"/>
      <x:c r="D42" s="134"/>
      <x:c r="E42" s="134"/>
      <x:c r="F42" s="134"/>
      <x:c r="G42" s="134"/>
      <x:c r="H42" s="134"/>
    </x:row>
    <x:row r="43" ht="20" customHeight="1">
      <x:c r="A43" s="136"/>
      <x:c r="B43" s="134"/>
      <x:c r="C43" s="134"/>
      <x:c r="D43" s="134"/>
      <x:c r="E43" s="134"/>
      <x:c r="F43" s="134"/>
      <x:c r="G43" s="134"/>
      <x:c r="H43" s="134"/>
    </x:row>
    <x:row r="44" ht="20" customHeight="1">
      <x:c r="A44" s="136"/>
      <x:c r="B44" s="134"/>
      <x:c r="C44" s="134"/>
      <x:c r="D44" s="134"/>
      <x:c r="E44" s="134"/>
      <x:c r="F44" s="134"/>
      <x:c r="G44" s="134"/>
      <x:c r="H44" s="134"/>
    </x:row>
    <x:row r="45" ht="20" customHeight="1">
      <x:c r="A45" s="136"/>
      <x:c r="B45" s="134"/>
      <x:c r="C45" s="134"/>
      <x:c r="D45" s="134"/>
      <x:c r="E45" s="134"/>
      <x:c r="F45" s="134"/>
      <x:c r="G45" s="134"/>
      <x:c r="H45" s="134"/>
    </x:row>
    <x:row r="46" ht="20" customHeight="1">
      <x:c r="A46" s="136"/>
      <x:c r="B46" s="134"/>
      <x:c r="C46" s="134"/>
      <x:c r="D46" s="134"/>
      <x:c r="E46" s="134"/>
      <x:c r="F46" s="134"/>
      <x:c r="G46" s="134"/>
      <x:c r="H46" s="134"/>
    </x:row>
    <x:row r="47" ht="20" customHeight="1">
      <x:c r="A47" s="136"/>
      <x:c r="B47" s="134"/>
      <x:c r="C47" s="134"/>
      <x:c r="D47" s="134"/>
      <x:c r="E47" s="134"/>
      <x:c r="F47" s="134"/>
      <x:c r="G47" s="134"/>
      <x:c r="H47" s="134"/>
    </x:row>
    <x:row r="48" ht="20" customHeight="1">
      <x:c r="A48" s="136"/>
      <x:c r="B48" s="134"/>
      <x:c r="C48" s="134"/>
      <x:c r="D48" s="134"/>
      <x:c r="E48" s="134"/>
      <x:c r="F48" s="134"/>
      <x:c r="G48" s="134"/>
      <x:c r="H48" s="134"/>
    </x:row>
    <x:row r="49" ht="20" customHeight="1">
      <x:c r="A49" s="136"/>
      <x:c r="B49" s="134"/>
      <x:c r="C49" s="134"/>
      <x:c r="D49" s="134"/>
      <x:c r="E49" s="134"/>
      <x:c r="F49" s="134"/>
      <x:c r="G49" s="134"/>
      <x:c r="H49" s="134"/>
    </x:row>
    <x:row r="50" ht="20" customHeight="1">
      <x:c r="A50" s="136"/>
      <x:c r="B50" s="134"/>
      <x:c r="C50" s="134"/>
      <x:c r="D50" s="134"/>
      <x:c r="E50" s="134"/>
      <x:c r="F50" s="134"/>
      <x:c r="G50" s="134"/>
      <x:c r="H50" s="134"/>
    </x:row>
  </x:sheetData>
  <x:mergeCells>
    <x:mergeCell ref="A1:H1"/>
    <x:mergeCell ref="A2:H2"/>
  </x:mergeCells>
  <x:pageMargins left="0.7" right="0.7" top="0.75" bottom="0.75" header="0.3" footer="0.3"/>
</x:worksheet>
</file>